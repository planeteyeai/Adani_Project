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https://adaniltd-my.sharepoint.com/personal/30115900_adani_com/Documents/Bihar Project/5.Ganga Path (VS)/"/>
    </mc:Choice>
  </mc:AlternateContent>
  <xr:revisionPtr revIDLastSave="2213" documentId="11_F25DC773A252ABDACC104844B11F5B9A5ADE58E8" xr6:coauthVersionLast="47" xr6:coauthVersionMax="47" xr10:uidLastSave="{DA447A49-FED3-48AD-AB4F-6BB261CADB0F}"/>
  <bookViews>
    <workbookView xWindow="20370" yWindow="-120" windowWidth="29040" windowHeight="15720" tabRatio="919" xr2:uid="{00000000-000D-0000-FFFF-FFFF00000000}"/>
  </bookViews>
  <sheets>
    <sheet name="Crust Layer" sheetId="14" r:id="rId1"/>
    <sheet name="TCS" sheetId="13" r:id="rId2"/>
    <sheet name="Paved Shoulder" sheetId="3" r:id="rId3"/>
    <sheet name="Underpasses" sheetId="4" r:id="rId4"/>
    <sheet name="Overpasses,Cloverleaf" sheetId="5" r:id="rId5"/>
    <sheet name="SR,Slip Road.Connecting Road" sheetId="6" r:id="rId6"/>
    <sheet name="Elevated" sheetId="11" r:id="rId7"/>
    <sheet name="Interchange (IC)" sheetId="12" r:id="rId8"/>
    <sheet name="Drain" sheetId="15" r:id="rId9"/>
    <sheet name="New Culvert" sheetId="16" r:id="rId10"/>
    <sheet name="RE Wall" sheetId="18"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8" i="18" l="1"/>
  <c r="A19" i="18"/>
  <c r="G19" i="18"/>
  <c r="G18" i="18"/>
  <c r="F19" i="18"/>
  <c r="F18" i="18"/>
  <c r="G17" i="18"/>
  <c r="G16" i="18"/>
  <c r="A17" i="18"/>
  <c r="F11" i="18"/>
  <c r="G11" i="18" s="1"/>
  <c r="F10" i="18"/>
  <c r="G10" i="18" s="1"/>
  <c r="F9" i="18"/>
  <c r="G9" i="18" s="1"/>
  <c r="F8" i="18"/>
  <c r="G8" i="18" s="1"/>
  <c r="F7" i="18"/>
  <c r="G7" i="18" s="1"/>
  <c r="F6" i="18"/>
  <c r="G6" i="18" s="1"/>
  <c r="F5" i="18"/>
  <c r="G5" i="18" s="1"/>
  <c r="F4" i="18"/>
  <c r="G4" i="18" s="1"/>
  <c r="A5" i="18"/>
  <c r="A6" i="18" s="1"/>
  <c r="A7" i="18" s="1"/>
  <c r="A8" i="18" s="1"/>
  <c r="A9" i="18" s="1"/>
  <c r="A10" i="18" s="1"/>
  <c r="A11" i="18" s="1"/>
  <c r="G25" i="15"/>
  <c r="G18" i="15"/>
  <c r="G19" i="15"/>
  <c r="G20" i="15"/>
  <c r="G21" i="15"/>
  <c r="G22" i="15"/>
  <c r="G23" i="15"/>
  <c r="G24" i="15"/>
  <c r="G17" i="15"/>
  <c r="E18" i="15"/>
  <c r="E19" i="15"/>
  <c r="E20" i="15"/>
  <c r="E21" i="15"/>
  <c r="E22" i="15"/>
  <c r="E23" i="15"/>
  <c r="E24" i="15"/>
  <c r="E17" i="15"/>
  <c r="D24" i="15"/>
  <c r="D23" i="15"/>
  <c r="D22" i="15"/>
  <c r="D21" i="15"/>
  <c r="D20" i="15"/>
  <c r="D19" i="15"/>
  <c r="D18" i="15"/>
  <c r="D17" i="15"/>
  <c r="A19" i="15"/>
  <c r="A20" i="15"/>
  <c r="A21" i="15"/>
  <c r="A22" i="15" s="1"/>
  <c r="A23" i="15" s="1"/>
  <c r="A24" i="15" s="1"/>
  <c r="A18" i="15"/>
  <c r="G9" i="15"/>
  <c r="G7" i="15"/>
  <c r="G12" i="15" s="1"/>
  <c r="D11" i="15"/>
  <c r="G11" i="15" s="1"/>
  <c r="D10" i="15"/>
  <c r="G10" i="15" s="1"/>
  <c r="D9" i="15"/>
  <c r="D8" i="15"/>
  <c r="G8" i="15" s="1"/>
  <c r="D7" i="15"/>
  <c r="A8" i="15"/>
  <c r="A9" i="15" s="1"/>
  <c r="A10" i="15" s="1"/>
  <c r="A11" i="15" s="1"/>
  <c r="B5" i="14"/>
  <c r="B6" i="14" s="1"/>
  <c r="B7" i="14" s="1"/>
  <c r="B8" i="14" s="1"/>
  <c r="A79" i="13"/>
  <c r="A80" i="13" s="1"/>
  <c r="A78" i="13"/>
  <c r="D80" i="13"/>
  <c r="D79" i="13"/>
  <c r="D78" i="13"/>
  <c r="D77" i="13"/>
  <c r="A66" i="13"/>
  <c r="A67" i="13" s="1"/>
  <c r="A68" i="13" s="1"/>
  <c r="A69" i="13" s="1"/>
  <c r="A70" i="13" s="1"/>
  <c r="A71" i="13" s="1"/>
  <c r="A72" i="13" s="1"/>
  <c r="D72" i="13"/>
  <c r="D71" i="13"/>
  <c r="D70" i="13"/>
  <c r="D69" i="13"/>
  <c r="D68" i="13"/>
  <c r="D67" i="13"/>
  <c r="D66" i="13"/>
  <c r="D65" i="13"/>
  <c r="D60" i="13"/>
  <c r="B55" i="13"/>
  <c r="D55" i="13" s="1"/>
  <c r="B53" i="13"/>
  <c r="D59" i="13"/>
  <c r="D58" i="13"/>
  <c r="D57" i="13"/>
  <c r="D56" i="13"/>
  <c r="D54" i="13"/>
  <c r="D53" i="13"/>
  <c r="D52" i="13"/>
  <c r="B47" i="13"/>
  <c r="D47" i="13" s="1"/>
  <c r="B45" i="13"/>
  <c r="D45" i="13" s="1"/>
  <c r="B43" i="13"/>
  <c r="D43" i="13" s="1"/>
  <c r="D46" i="13"/>
  <c r="D44" i="13"/>
  <c r="D42" i="13"/>
  <c r="B41" i="13"/>
  <c r="D41" i="13" s="1"/>
  <c r="D40" i="13"/>
  <c r="D35" i="13"/>
  <c r="D34" i="13"/>
  <c r="D32" i="13"/>
  <c r="D31" i="13"/>
  <c r="B33" i="13"/>
  <c r="D33" i="13" s="1"/>
  <c r="B30" i="13"/>
  <c r="D30" i="13" s="1"/>
  <c r="D29" i="13"/>
  <c r="B22" i="13"/>
  <c r="D22" i="13" s="1"/>
  <c r="B21" i="13"/>
  <c r="D21" i="13" s="1"/>
  <c r="B20" i="13"/>
  <c r="D20" i="13" s="1"/>
  <c r="B19" i="13"/>
  <c r="D19" i="13" s="1"/>
  <c r="B18" i="13"/>
  <c r="D18" i="13" s="1"/>
  <c r="B17" i="13"/>
  <c r="D17" i="13" s="1"/>
  <c r="B16" i="13"/>
  <c r="D16" i="13" s="1"/>
  <c r="B15" i="13"/>
  <c r="D15" i="13" s="1"/>
  <c r="B14" i="13"/>
  <c r="D14" i="13" s="1"/>
  <c r="B13" i="13"/>
  <c r="D13" i="13" s="1"/>
  <c r="B12" i="13"/>
  <c r="D12" i="13" s="1"/>
  <c r="B11" i="13"/>
  <c r="D11" i="13" s="1"/>
  <c r="B10" i="13"/>
  <c r="D10" i="13" s="1"/>
  <c r="B9" i="13"/>
  <c r="D9" i="13" s="1"/>
  <c r="B8" i="13"/>
  <c r="D8" i="13" s="1"/>
  <c r="B7" i="13"/>
  <c r="D7" i="13" s="1"/>
  <c r="B6" i="13"/>
  <c r="D6" i="13" s="1"/>
  <c r="D5" i="13"/>
  <c r="A6" i="13"/>
  <c r="A7" i="13" s="1"/>
  <c r="A8" i="13" s="1"/>
  <c r="A9" i="13" s="1"/>
  <c r="A10" i="13" s="1"/>
  <c r="A11" i="13" s="1"/>
  <c r="A12" i="13" s="1"/>
  <c r="A13" i="13" s="1"/>
  <c r="A14" i="13" s="1"/>
  <c r="A15" i="13" s="1"/>
  <c r="A16" i="13" s="1"/>
  <c r="A17" i="13" s="1"/>
  <c r="A18" i="13" s="1"/>
  <c r="A19" i="13" s="1"/>
  <c r="A20" i="13" s="1"/>
  <c r="A21" i="13" s="1"/>
  <c r="A22" i="13" s="1"/>
  <c r="E42" i="12"/>
  <c r="E41" i="12"/>
  <c r="E40" i="12"/>
  <c r="E39" i="12"/>
  <c r="E37" i="12"/>
  <c r="E36" i="12"/>
  <c r="E35" i="12"/>
  <c r="E34" i="12"/>
  <c r="E33" i="12"/>
  <c r="E32" i="12"/>
  <c r="E31" i="12"/>
  <c r="E30" i="12"/>
  <c r="E28" i="12"/>
  <c r="E27" i="12"/>
  <c r="E26" i="12"/>
  <c r="E25" i="12"/>
  <c r="E23" i="12"/>
  <c r="E22" i="12"/>
  <c r="E21" i="12"/>
  <c r="E20" i="12"/>
  <c r="E16" i="12"/>
  <c r="E17" i="12"/>
  <c r="E18" i="12"/>
  <c r="E15" i="12"/>
  <c r="A40" i="12"/>
  <c r="A41" i="12" s="1"/>
  <c r="A42" i="12" s="1"/>
  <c r="A34" i="12"/>
  <c r="A35" i="12" s="1"/>
  <c r="A36" i="12" s="1"/>
  <c r="A37" i="12" s="1"/>
  <c r="A31" i="12"/>
  <c r="A32" i="12" s="1"/>
  <c r="A33" i="12" s="1"/>
  <c r="A26" i="12"/>
  <c r="A27" i="12" s="1"/>
  <c r="A28" i="12" s="1"/>
  <c r="A16" i="12"/>
  <c r="A17" i="12" s="1"/>
  <c r="A18" i="12" s="1"/>
  <c r="A21" i="12" s="1"/>
  <c r="A22" i="12" s="1"/>
  <c r="A23" i="12" s="1"/>
  <c r="A4" i="12"/>
  <c r="A5" i="12" s="1"/>
  <c r="A6" i="12" s="1"/>
  <c r="A7" i="12" s="1"/>
  <c r="H8" i="11"/>
  <c r="D6" i="11"/>
  <c r="H22" i="6"/>
  <c r="H23" i="6"/>
  <c r="H24" i="6"/>
  <c r="H25" i="6"/>
  <c r="H26" i="6"/>
  <c r="H27" i="6"/>
  <c r="H28" i="6"/>
  <c r="H21" i="6"/>
  <c r="F28" i="6"/>
  <c r="F27" i="6"/>
  <c r="F26" i="6"/>
  <c r="F25" i="6"/>
  <c r="F24" i="6"/>
  <c r="F23" i="6"/>
  <c r="F22" i="6"/>
  <c r="F21" i="6"/>
  <c r="E22" i="6"/>
  <c r="E23" i="6"/>
  <c r="E24" i="6"/>
  <c r="E25" i="6"/>
  <c r="E26" i="6"/>
  <c r="E27" i="6"/>
  <c r="E28" i="6"/>
  <c r="E21" i="6"/>
  <c r="B23" i="6"/>
  <c r="B24" i="6" s="1"/>
  <c r="B25" i="6" s="1"/>
  <c r="B26" i="6" s="1"/>
  <c r="B27" i="6" s="1"/>
  <c r="B28" i="6" s="1"/>
  <c r="B22" i="6"/>
  <c r="H14" i="6"/>
  <c r="H15" i="6"/>
  <c r="H8" i="6"/>
  <c r="E15" i="6"/>
  <c r="F15" i="6" s="1"/>
  <c r="E14" i="6"/>
  <c r="F14" i="6" s="1"/>
  <c r="E13" i="6"/>
  <c r="F13" i="6" s="1"/>
  <c r="E12" i="6"/>
  <c r="F12" i="6" s="1"/>
  <c r="E11" i="6"/>
  <c r="E10" i="6"/>
  <c r="E9" i="6"/>
  <c r="F9" i="6" s="1"/>
  <c r="F8" i="6"/>
  <c r="E8" i="6"/>
  <c r="B9" i="6"/>
  <c r="B10" i="6" s="1"/>
  <c r="B11" i="6" s="1"/>
  <c r="B12" i="6" s="1"/>
  <c r="B13" i="6" s="1"/>
  <c r="B14" i="6" s="1"/>
  <c r="B15" i="6" s="1"/>
  <c r="A7" i="4"/>
  <c r="A8" i="4" s="1"/>
  <c r="A9" i="4" s="1"/>
  <c r="A10" i="4" s="1"/>
  <c r="A11" i="4" s="1"/>
  <c r="A12" i="4" s="1"/>
  <c r="A13" i="4" s="1"/>
  <c r="A14" i="4" s="1"/>
  <c r="A15" i="4" s="1"/>
  <c r="D23" i="13" l="1"/>
  <c r="H10" i="6"/>
  <c r="H13" i="6"/>
  <c r="F11" i="6"/>
  <c r="H11" i="6" s="1"/>
  <c r="H16" i="6" s="1"/>
  <c r="F10" i="6"/>
  <c r="H9" i="6"/>
  <c r="H12" i="6"/>
  <c r="A27" i="3" l="1"/>
  <c r="A28" i="3" s="1"/>
  <c r="A29" i="3" s="1"/>
  <c r="A30" i="3" s="1"/>
  <c r="A31" i="3" s="1"/>
  <c r="A32" i="3" s="1"/>
  <c r="A33" i="3" s="1"/>
  <c r="A34" i="3" s="1"/>
  <c r="A35" i="3" s="1"/>
  <c r="A36" i="3" s="1"/>
  <c r="A37" i="3" s="1"/>
  <c r="A38" i="3" s="1"/>
  <c r="A39" i="3" s="1"/>
  <c r="A40" i="3" s="1"/>
  <c r="A41" i="3" s="1"/>
  <c r="D28" i="3"/>
  <c r="D30" i="3"/>
  <c r="D31" i="3"/>
  <c r="D34" i="3"/>
  <c r="D36" i="3"/>
  <c r="D38" i="3"/>
  <c r="D39" i="3"/>
  <c r="D26" i="3"/>
  <c r="B28" i="3"/>
  <c r="B29" i="3"/>
  <c r="D29" i="3" s="1"/>
  <c r="B30" i="3"/>
  <c r="B31" i="3"/>
  <c r="B32" i="3"/>
  <c r="D32" i="3" s="1"/>
  <c r="B33" i="3"/>
  <c r="D33" i="3" s="1"/>
  <c r="B34" i="3"/>
  <c r="B35" i="3"/>
  <c r="D35" i="3" s="1"/>
  <c r="B36" i="3"/>
  <c r="B37" i="3"/>
  <c r="D37" i="3" s="1"/>
  <c r="B38" i="3"/>
  <c r="B39" i="3"/>
  <c r="B40" i="3"/>
  <c r="D40" i="3" s="1"/>
  <c r="B41" i="3"/>
  <c r="D41" i="3" s="1"/>
  <c r="B27" i="3"/>
  <c r="D27" i="3" s="1"/>
  <c r="D6" i="3"/>
  <c r="D7" i="3"/>
  <c r="D8" i="3"/>
  <c r="D9" i="3"/>
  <c r="D10" i="3"/>
  <c r="D11" i="3"/>
  <c r="D12" i="3"/>
  <c r="D13" i="3"/>
  <c r="D14" i="3"/>
  <c r="D15" i="3"/>
  <c r="D16" i="3"/>
  <c r="D17" i="3"/>
  <c r="D18" i="3"/>
  <c r="D19" i="3"/>
  <c r="D20" i="3"/>
  <c r="D5" i="3"/>
  <c r="A7" i="3"/>
  <c r="A8" i="3" s="1"/>
  <c r="A9" i="3" s="1"/>
  <c r="A10" i="3" s="1"/>
  <c r="A11" i="3" s="1"/>
  <c r="A12" i="3" s="1"/>
  <c r="A13" i="3" s="1"/>
  <c r="A14" i="3" s="1"/>
  <c r="A15" i="3" s="1"/>
  <c r="A16" i="3" s="1"/>
  <c r="A17" i="3" s="1"/>
  <c r="A18" i="3" s="1"/>
  <c r="A19" i="3" s="1"/>
  <c r="A20" i="3" s="1"/>
  <c r="A6" i="3"/>
  <c r="B19" i="3"/>
  <c r="B20" i="3"/>
  <c r="B7" i="3"/>
  <c r="B8" i="3"/>
  <c r="B9" i="3"/>
  <c r="B10" i="3"/>
  <c r="B11" i="3"/>
  <c r="B12" i="3"/>
  <c r="B13" i="3"/>
  <c r="B14" i="3"/>
  <c r="B15" i="3"/>
  <c r="B16" i="3"/>
  <c r="B17" i="3"/>
  <c r="B18" i="3"/>
  <c r="B6" i="3"/>
</calcChain>
</file>

<file path=xl/sharedStrings.xml><?xml version="1.0" encoding="utf-8"?>
<sst xmlns="http://schemas.openxmlformats.org/spreadsheetml/2006/main" count="553" uniqueCount="220">
  <si>
    <t>Width of Paved Shoulder of 1.5/2.5 as per TCS and MORTH Circular (RW/NH-33044/22/2020-S&amp;R(P&amp;B)</t>
  </si>
  <si>
    <t>S. No.</t>
  </si>
  <si>
    <t>Design Chainage (Km)</t>
  </si>
  <si>
    <t>From</t>
  </si>
  <si>
    <t>To</t>
  </si>
  <si>
    <t>Length (Km)</t>
  </si>
  <si>
    <t>Fully paved shoulder/footpaths</t>
  </si>
  <si>
    <t>Referance to Cross Section</t>
  </si>
  <si>
    <t>Paved Shoulder</t>
  </si>
  <si>
    <t>TCS</t>
  </si>
  <si>
    <t>6</t>
  </si>
  <si>
    <t>3</t>
  </si>
  <si>
    <t>4</t>
  </si>
  <si>
    <t>5</t>
  </si>
  <si>
    <t>The Design Specification of paved shoulder and granular material shall conform to the
requirements specified in paragraph 5.11 of the relevant manual.</t>
  </si>
  <si>
    <t>The earthen shoulder shall be 1.0/l .5 m wide on either/single side in case of open country (Plain &amp; rolling terrain) with isolated built-ups areas/ approaches to bridges/ grade separated structures/ ROBs with free slope. 1n addition to 1.0/1.5m earthen shoulder, 1.0 m extra width shall be provided in order to have desirable offset for installation of metal beam crash barrier along the free slope stretches, placement of road signs and provisions of kerb and Channel drain for Chute drain on high embankment slope as per site requirements and as per TCS and MORTH Circular RW/NH-33044/22/2020-S&amp;R(P&amp;B).</t>
  </si>
  <si>
    <t>Earthen Shoulder</t>
  </si>
  <si>
    <t>Lateral and Vertical Clearance at Underpasses</t>
  </si>
  <si>
    <t>The vertical clearance at the underpasses shall be as per Clause 2.10.2 of the manual.</t>
  </si>
  <si>
    <t>Design Chainage (km)</t>
  </si>
  <si>
    <t>Span Arrangement (m)</t>
  </si>
  <si>
    <t>Verticle Clearance  (m)</t>
  </si>
  <si>
    <t>Proposed type of Super - Structure</t>
  </si>
  <si>
    <t>Total Width (m)</t>
  </si>
  <si>
    <t>Remarks</t>
  </si>
  <si>
    <t>1 X 55</t>
  </si>
  <si>
    <t>1 X 12</t>
  </si>
  <si>
    <t>1 X 45</t>
  </si>
  <si>
    <t>Composite Steel Girder</t>
  </si>
  <si>
    <t>BOX Type</t>
  </si>
  <si>
    <t>As per GAD</t>
  </si>
  <si>
    <t>Trumpet</t>
  </si>
  <si>
    <t>VUP</t>
  </si>
  <si>
    <t>Lateral and vertical clearances at Overpasses</t>
  </si>
  <si>
    <t>Lateral and vertical clearances for overpasses shall be as per paragraph 2.11 of the Manual.SVUP shall be kept 150 mm above the ground level/service road/ cross road (whichever ishigher) to ensure that these YUP/ L VUP/ SVUP don't become water accumulation points. (Clause No. 2.10 IRC: SP:84-2019).</t>
  </si>
  <si>
    <t>Lateral and vertical clearances for overpasses shall be as per paragraph 2.11 of the Manual.</t>
  </si>
  <si>
    <t>Lateral clearance: The width of the opening at the Overpasses shall be as follows:</t>
  </si>
  <si>
    <t>1 X 50</t>
  </si>
  <si>
    <t>Steel Composite Girder</t>
  </si>
  <si>
    <t>Cloverleaf</t>
  </si>
  <si>
    <t>Service roads/Slip roads/Connecting Roads:</t>
  </si>
  <si>
    <t>Service Road: The height of embankment of service road shall confirm to clause 4.2.1.</t>
  </si>
  <si>
    <t>The Service roads shall be constructed at the locations and for the lengths indicated below:</t>
  </si>
  <si>
    <t>For VUP Section</t>
  </si>
  <si>
    <t>Length (km)</t>
  </si>
  <si>
    <t>LHS</t>
  </si>
  <si>
    <t>RHS</t>
  </si>
  <si>
    <t>Paved Carriageway Width including shyness (m)</t>
  </si>
  <si>
    <t>Total Length (in km)</t>
  </si>
  <si>
    <t>TCS - 6</t>
  </si>
  <si>
    <t>TCS - 5</t>
  </si>
  <si>
    <t>5.75+5.75</t>
  </si>
  <si>
    <t>6.0+5.75</t>
  </si>
  <si>
    <t>For Main Carriageway</t>
  </si>
  <si>
    <t>5.75 + 5.75</t>
  </si>
  <si>
    <t>6.00 + 6.00</t>
  </si>
  <si>
    <t>TCS - 3</t>
  </si>
  <si>
    <t>TCS - 4</t>
  </si>
  <si>
    <t>TCS - 8</t>
  </si>
  <si>
    <t>Separator Between Main Carriageway and Service/Slip Road (clause No. 2.15.1 IRC:
SP:84-2019.</t>
  </si>
  <si>
    <t>A separator between main carriageway and service/slip road shall be provided to prevent the
pedestrians, local vehicles and animals entering the highway and as per provided TCS.</t>
  </si>
  <si>
    <t>LHS Roadway Width (m)</t>
  </si>
  <si>
    <t>RHS Roadway Width (m)</t>
  </si>
  <si>
    <t>Super Structure Provision in Median</t>
  </si>
  <si>
    <t>No</t>
  </si>
  <si>
    <t>Super structure Provision in Median</t>
  </si>
  <si>
    <t>Skew Angle (to be specified)</t>
  </si>
  <si>
    <r>
      <t>29</t>
    </r>
    <r>
      <rPr>
        <sz val="11"/>
        <color theme="1"/>
        <rFont val="Adani Regular"/>
      </rPr>
      <t>°</t>
    </r>
  </si>
  <si>
    <t>16°</t>
  </si>
  <si>
    <t>18°</t>
  </si>
  <si>
    <t>41°</t>
  </si>
  <si>
    <t>23°</t>
  </si>
  <si>
    <t>Spam Arrangement (m)</t>
  </si>
  <si>
    <t>Minimum Vertical Clearance (m)</t>
  </si>
  <si>
    <t>Skew Angle to be specified)</t>
  </si>
  <si>
    <t>Length (m)</t>
  </si>
  <si>
    <t>AS per Attached GAD</t>
  </si>
  <si>
    <t>Elevated</t>
  </si>
  <si>
    <t>343 X 50 
+ 
5 X 55 
+ 
1 X 42.45 
+ 
1 X 25.60</t>
  </si>
  <si>
    <t>Name of structure</t>
  </si>
  <si>
    <t>Typical Cross Section</t>
  </si>
  <si>
    <t>As per GAD Attached</t>
  </si>
  <si>
    <t>Clover Leaf</t>
  </si>
  <si>
    <t>1 X 55.0</t>
  </si>
  <si>
    <t>1 X 50.0</t>
  </si>
  <si>
    <t>1 X 45.0</t>
  </si>
  <si>
    <t>As per Attached GAD</t>
  </si>
  <si>
    <t>Interchanges (IC)</t>
  </si>
  <si>
    <t>Note: Layout, Geometric Design and Typical Cross Sections of Interchange included in Annexure to
schedule-B.</t>
  </si>
  <si>
    <t>Details of Ramps, Cross Roads and Connecting Roads at Interchanges (IC).</t>
  </si>
  <si>
    <t>Stretches (Km)</t>
  </si>
  <si>
    <t>Carriageway Widths Including Kerb Shyness</t>
  </si>
  <si>
    <t>Length (inKm)</t>
  </si>
  <si>
    <t>Description of Ramps, Crossroads and Connecting Roads</t>
  </si>
  <si>
    <t>Interchange at Km. 0.000 (Start Point)</t>
  </si>
  <si>
    <t>Trumpet at Km. 4.410</t>
  </si>
  <si>
    <t>Trumpet at Km. 7.520</t>
  </si>
  <si>
    <t>Cloverleaf at Km. 10.920</t>
  </si>
  <si>
    <t>Trumpet at Km. 34.532</t>
  </si>
  <si>
    <t>New Ganga Path to Digha Rotary</t>
  </si>
  <si>
    <t>New Ganga Path to New JP Setu</t>
  </si>
  <si>
    <t>AIMS to New Ganga Path</t>
  </si>
  <si>
    <t>New JP Setu to New Ganga Path</t>
  </si>
  <si>
    <t>Danapur Station to Koilwar</t>
  </si>
  <si>
    <t>New Ganga Path (Digha Rotary) to Danapur Station</t>
  </si>
  <si>
    <t>Koilwar to Danapur Station</t>
  </si>
  <si>
    <t>Danapur Station to New Ganga Path (Digha Rotary)</t>
  </si>
  <si>
    <t>Shahpur to Koilwar</t>
  </si>
  <si>
    <t>Digha Rotary to Shahpur</t>
  </si>
  <si>
    <t>Shahpur To Digha Rotary</t>
  </si>
  <si>
    <t>Koilwar To Shahpur</t>
  </si>
  <si>
    <t>Ganga Path (Koilwar) To Dighawara</t>
  </si>
  <si>
    <t>Dighwara to Ganag Path (Digha Rotary)</t>
  </si>
  <si>
    <t>Sherpur to Ganga Path (Koilwar)</t>
  </si>
  <si>
    <t>Ganga Path (Digha Rotary) Ro Sherpur</t>
  </si>
  <si>
    <t>Ganga Path (koilawr) To Sherpur</t>
  </si>
  <si>
    <t>Ganga Path ( Digha Rotary) to Dighwara</t>
  </si>
  <si>
    <t>Dighwara To Ganga Path (koilwar)</t>
  </si>
  <si>
    <t>Sherpur To Ganga Path (Digha Rotary)</t>
  </si>
  <si>
    <t>New Ganga Path (Digha Rotary) to Koilwar</t>
  </si>
  <si>
    <t>Bhita to New Ganga Path (Digha Rotary)</t>
  </si>
  <si>
    <t>Koilwar to New Ganga Path (Digha Rotary)- Service Road</t>
  </si>
  <si>
    <t>New Ganga Path (Digha Rotary) to Bhita - Service Road</t>
  </si>
  <si>
    <t>Typical Cross Section (TCS) of the Project Highway</t>
  </si>
  <si>
    <t>Stretch</t>
  </si>
  <si>
    <t>From Km</t>
  </si>
  <si>
    <t>To Km</t>
  </si>
  <si>
    <t>Description (Referance to cross section)</t>
  </si>
  <si>
    <t>TCS - 1</t>
  </si>
  <si>
    <t>Modified Fig. 7.8 of IRC: SP:84-2019, TCS for Grade Separated Structure (Vehicular Underpass) 6-Lane Divided Highway (New Construction - Open Countary Plan/Rolling Terrain)</t>
  </si>
  <si>
    <t>Modified Fig. 2.5 of IRC: SP:84-2019, 4-lane Divided Highway with Service Road with Raised Median (New Construction - Open Country Plan/Rolling Terrain)</t>
  </si>
  <si>
    <t>Modified Fig. 2.6 of IRC: SP:84-2019, 4-lane Divided Highway with Service Road with Raised Median (Reconstruction - Built-up section Plan/Rolling Terrain)</t>
  </si>
  <si>
    <t>Modified Fig. 7.8 of IRC: SP:84-2019, TCS for Grade Separated Structure (Vehicular Underpass) 6-Lane Divided Highway (Reconstruction - Open Country Plan/Rolling Terrain)</t>
  </si>
  <si>
    <t>Modified Fig. 7.8 of IRC: SP:84-2019, TCS for Grade Separated Structure Vehicular Underpass, 6-Lane Divided Highway (Reconstruction - Open Country Plan/Rolling Terrain)</t>
  </si>
  <si>
    <t>4 lane Loop/Ramp with RE Wall (New Construction - Open Country Plan/Rolling Terrain)</t>
  </si>
  <si>
    <t>TOTAL</t>
  </si>
  <si>
    <t>Modified Fig. 7.8 of IRC: SP:84-2019, TCS for Grade Separated Structure (Vehicular Underpass) 6-Lane Divided Highway (New Construction - Open Country Plan/Rolling Terrain)</t>
  </si>
  <si>
    <t>Modified Fig. 7.8 of IRC: SP:84-2019, TCS for Main carriageway - Elevated Section, 6-Lane Divided Highway (New Construction - Open Country Plan/Rolling Terrain)</t>
  </si>
  <si>
    <t>Modified Fig. 2.5 of lRC: SP:84-2019, 4-lane Divided Highway with Service Road with Raised Median (New Construction - Open Country Plan/Rolling Terrain)</t>
  </si>
  <si>
    <t>Modified Fig. 7.8 of lRC: SP:84-2019, TCS for Grade Separated Structure Vehicular Underpass, 6-Lane Divided Highway (Reconstruction - Open Country Plan/Rolling Terrain)</t>
  </si>
  <si>
    <t>Modified Fig. 2.6 of lRC: SP:84-2019, 4-lane Divided Highway with Service Road with Raised Median (Reconstruction - Built-up section Plan/Rolling Terrain)</t>
  </si>
  <si>
    <t>Km. 0+000 (Start Point) - Leaf Interchanges</t>
  </si>
  <si>
    <t>The Project Highway shall be constructed to Four lane configuration. Typical cross sections required to be developed in different sections of the Project Highway are given below.</t>
  </si>
  <si>
    <t>TCS - 02</t>
  </si>
  <si>
    <t>TCS - 07</t>
  </si>
  <si>
    <t>TCS - 09</t>
  </si>
  <si>
    <t>Typical Cross Section for 2 lane Loop/Ramp with One Direction at Interchanges Location (New Construction - Open Country Plan/Rolling Terrain)</t>
  </si>
  <si>
    <t>2 lane Loop/Ramp with One Direction with Retaining Wall (New Construction - Open Country Plan/Rolling Terrain)</t>
  </si>
  <si>
    <t>2 lane Loop/Ramp with One Direction with RE Wall (New Construction - Open Country Plan/Rolling Terrain)</t>
  </si>
  <si>
    <t>New Ganga Path to Digha
Rotary</t>
  </si>
  <si>
    <t>AIIMS To New Ganga Path</t>
  </si>
  <si>
    <t>New JP Setu
to New
Ganga Path</t>
  </si>
  <si>
    <t>2 lane Loop/Ramp with One Direction with Retaining Wall (New Construction - Open Country Plan/Rolling Terrain) (New Construction - Open Country Plan/Rolling Terrain)</t>
  </si>
  <si>
    <t xml:space="preserve">2 lane Loop/Ramp with One Direction with Retaining Wall (New Construction - Open Country Plan/Rolling Terrain) </t>
  </si>
  <si>
    <t>Digha to Danapur Station</t>
  </si>
  <si>
    <t>Danapur Station to Digha</t>
  </si>
  <si>
    <t>Km. 7+520 - Trumpet</t>
  </si>
  <si>
    <t>Km. 4+410 - Trumpet</t>
  </si>
  <si>
    <t>TCS -07</t>
  </si>
  <si>
    <t>TCS -02</t>
  </si>
  <si>
    <t>TCS - 01</t>
  </si>
  <si>
    <t>2_ lane Loop/Ramp with One Direction with Retaining Wall (New Construction - Open Country Plan/Rolling Terrain)</t>
  </si>
  <si>
    <t>Modified Fig. 7.8 ofIRC: SP:84-2019, TCS for Main carriageway - Elevated Section, 6-Lane Divided Highway (New Construction - Open Country Plan/Rolling Terrain)</t>
  </si>
  <si>
    <t>Km. 10.920 - CloverIeaf</t>
  </si>
  <si>
    <t>Ganga Path (Koilwar) to Sherpur</t>
  </si>
  <si>
    <t>Ganga Path (Digha Rotary) to Digwara</t>
  </si>
  <si>
    <t>Digwara to Ganga Path (Digha Rotary)</t>
  </si>
  <si>
    <t>Sherpur to Ganga Path (Digha Rotary)</t>
  </si>
  <si>
    <t>Ganga Path (Koilwar) to Dighwara</t>
  </si>
  <si>
    <t>Dighwara to Ganga Path (Digha Rotary)</t>
  </si>
  <si>
    <t>Km. 34+532 - Trumpet</t>
  </si>
  <si>
    <t>2 Lane Loop/Ramp with One Direction with RE Wall (New Construction - Open Countary Plan/Rolling Terrain)</t>
  </si>
  <si>
    <t>Digha To Koilwar</t>
  </si>
  <si>
    <t>Bhita To Digha</t>
  </si>
  <si>
    <t>Koilwar to Digha (Service Road)</t>
  </si>
  <si>
    <t>Digha to Bhita (Service Road)</t>
  </si>
  <si>
    <t>1. Any variations in the lengths specified in the above table shall not constitute a Change of
Scope</t>
  </si>
  <si>
    <t>2. Lengths mentioned in the above list for cross section types concerned to structures are
inclusive of structme length.</t>
  </si>
  <si>
    <t>3. Retaining wall/ RE wall shall be provided for full height on all structures. (clause No. 7.1 (iv)
IRC: SP:84-2019).</t>
  </si>
  <si>
    <t>4. Toe wall/Retaining wall to be provided where ROW is restricted and water bodies along the proposed highway on the sections specified in Schedule - B and change of scope shall not be constituted on this account</t>
  </si>
  <si>
    <t>Flexible Pavement Layers</t>
  </si>
  <si>
    <t>MCW</t>
  </si>
  <si>
    <t>Bituminous Concrete (BC)</t>
  </si>
  <si>
    <t>Dense Bituminous Macadam (DBM)</t>
  </si>
  <si>
    <t>Wet Mix Macadam (WMM)</t>
  </si>
  <si>
    <t>50 mm</t>
  </si>
  <si>
    <t>125 mm</t>
  </si>
  <si>
    <t>250 mm</t>
  </si>
  <si>
    <t>Granular Sub Base (GSB)</t>
  </si>
  <si>
    <t>Subgrade</t>
  </si>
  <si>
    <t>200 mm</t>
  </si>
  <si>
    <t>500 mm</t>
  </si>
  <si>
    <t>1125 mm</t>
  </si>
  <si>
    <t>Crossroads/ service roads/ slip roads</t>
  </si>
  <si>
    <t>Crust Composition (As per IRC:37-2018)</t>
  </si>
  <si>
    <t xml:space="preserve">Crust Composition (mm) </t>
  </si>
  <si>
    <t>PQC (Pavement Quality Concrete)</t>
  </si>
  <si>
    <t>DLC (Dry Lean Concrete)</t>
  </si>
  <si>
    <t>300 mm</t>
  </si>
  <si>
    <t>150 mm</t>
  </si>
  <si>
    <t>1100 mm</t>
  </si>
  <si>
    <t>Sr. No.</t>
  </si>
  <si>
    <t>Width of Drain (m)</t>
  </si>
  <si>
    <t>Total Length (in Km)</t>
  </si>
  <si>
    <t>Drainage system including surface and subsurface drains for the Project Highway including crossroads shall be provided as per section 6 of the manual. RCC Drain shall conform to the cross- sectional features and other details as given in Annexures to Schedule-B and shall be provided as under: (Clause No. 2.13 &amp; 6.2.6 IRC: SP:84-2019.</t>
  </si>
  <si>
    <t>1 X 1.5</t>
  </si>
  <si>
    <t>Details of RCC Drain Cum Footoath/RCC Drain for Main C/w / Service Road Section</t>
  </si>
  <si>
    <t>2 X 1</t>
  </si>
  <si>
    <t>2 X 1.5 + 2 X 1</t>
  </si>
  <si>
    <t>1 X 5.0 X 3.0</t>
  </si>
  <si>
    <t>RCC BOX</t>
  </si>
  <si>
    <t>At Loop (Ganga Path to Koilwar)</t>
  </si>
  <si>
    <t>At Loop (Ganga Path to Bhita)</t>
  </si>
  <si>
    <t>Reinforced Earth wall shall be provided as given below at YUP Approach Location:</t>
  </si>
  <si>
    <t>Chainage (in Km)</t>
  </si>
  <si>
    <t>Design Chainage (in Km)</t>
  </si>
  <si>
    <t>Length (In Km)</t>
  </si>
  <si>
    <t>Reinforced Earth wall shall be provided as given below at Loop/Ramp Approach Location:</t>
  </si>
  <si>
    <t>TCS - 08</t>
  </si>
  <si>
    <t>Bhita to Digha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</si>
</sst>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0.0"/>
    <numFmt numFmtId="166" formatCode="0.000"/>
    <numFmt numFmtId="167" formatCode="&quot;TCS - &quot;@"/>
  </numFmts>
  <fonts count="3" x14ac:knownFonts="1">
    <font>
      <sz val="11"/>
      <color theme="1"/>
      <name val="Calibri"/>
      <family val="2"/>
      <scheme val="minor"/>
    </font>
    <font>
      <b/>
      <sz val="11"/>
      <color theme="1"/>
      <name val="Calibri"/>
      <family val="2"/>
      <scheme val="minor"/>
    </font>
    <font>
      <sz val="11"/>
      <color theme="1"/>
      <name val="Adani Regular"/>
    </font>
  </fonts>
  <fills count="3">
    <fill>
      <patternFill patternType="none"/>
    </fill>
    <fill>
      <patternFill patternType="gray125"/>
    </fill>
    <fill>
      <patternFill patternType="solid">
        <fgColor rgb="FFFFFF00"/>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1">
    <xf numFmtId="0" fontId="0" fillId="0" borderId="0"/>
  </cellStyleXfs>
  <cellXfs count="182">
    <xf numFmtId="0" fontId="0" fillId="0" borderId="0" xfId="0"/>
    <xf numFmtId="0" fontId="0" fillId="0" borderId="0" xfId="0" applyAlignment="1">
      <alignment vertical="center"/>
    </xf>
    <xf numFmtId="0" fontId="0" fillId="0" borderId="0" xfId="0" applyAlignment="1">
      <alignment vertical="center" wrapText="1"/>
    </xf>
    <xf numFmtId="0" fontId="0" fillId="0" borderId="0" xfId="0" applyAlignment="1">
      <alignment wrapText="1"/>
    </xf>
    <xf numFmtId="0" fontId="0" fillId="0" borderId="0" xfId="0" applyAlignment="1">
      <alignment horizontal="center" vertical="center" wrapText="1"/>
    </xf>
    <xf numFmtId="166" fontId="0" fillId="0" borderId="0" xfId="0" applyNumberFormat="1" applyAlignment="1">
      <alignment horizontal="center" wrapText="1"/>
    </xf>
    <xf numFmtId="166" fontId="0" fillId="0" borderId="0" xfId="0" applyNumberFormat="1" applyAlignment="1">
      <alignment horizontal="center" vertical="center" wrapText="1"/>
    </xf>
    <xf numFmtId="0" fontId="0" fillId="0" borderId="0" xfId="0" applyAlignment="1">
      <alignment horizontal="center" vertical="center"/>
    </xf>
    <xf numFmtId="166" fontId="0" fillId="0" borderId="0" xfId="0" applyNumberFormat="1" applyAlignment="1">
      <alignment horizontal="center" vertical="center"/>
    </xf>
    <xf numFmtId="0" fontId="1" fillId="0" borderId="0" xfId="0" applyFont="1" applyAlignment="1">
      <alignment horizontal="center" vertical="center" wrapText="1"/>
    </xf>
    <xf numFmtId="0" fontId="1" fillId="0" borderId="0" xfId="0" applyFont="1" applyAlignment="1">
      <alignment vertical="center" wrapText="1"/>
    </xf>
    <xf numFmtId="0" fontId="0" fillId="0" borderId="1" xfId="0" applyBorder="1" applyAlignment="1">
      <alignment horizontal="center" vertical="center" wrapText="1"/>
    </xf>
    <xf numFmtId="166" fontId="0" fillId="0" borderId="1" xfId="0" applyNumberFormat="1" applyBorder="1" applyAlignment="1">
      <alignment horizontal="center" vertical="center" wrapText="1"/>
    </xf>
    <xf numFmtId="167" fontId="0" fillId="0" borderId="1" xfId="0" applyNumberFormat="1" applyBorder="1" applyAlignment="1">
      <alignment horizontal="center" vertical="center" wrapText="1"/>
    </xf>
    <xf numFmtId="0" fontId="0" fillId="0" borderId="3" xfId="0" applyBorder="1" applyAlignment="1">
      <alignment horizontal="center" vertical="center" wrapText="1"/>
    </xf>
    <xf numFmtId="0" fontId="0" fillId="0" borderId="3" xfId="0" applyBorder="1" applyAlignment="1">
      <alignment horizontal="center" wrapText="1"/>
    </xf>
    <xf numFmtId="166" fontId="0" fillId="0" borderId="3" xfId="0" applyNumberFormat="1" applyBorder="1" applyAlignment="1">
      <alignment horizontal="center" wrapText="1"/>
    </xf>
    <xf numFmtId="166" fontId="0" fillId="0" borderId="3" xfId="0" applyNumberFormat="1" applyBorder="1" applyAlignment="1">
      <alignment horizontal="center" vertical="center" wrapText="1"/>
    </xf>
    <xf numFmtId="167" fontId="0" fillId="0" borderId="3" xfId="0" applyNumberFormat="1" applyBorder="1" applyAlignment="1">
      <alignment horizontal="center" vertical="center" wrapText="1"/>
    </xf>
    <xf numFmtId="0" fontId="1" fillId="0" borderId="10"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16" xfId="0" applyFont="1" applyBorder="1" applyAlignment="1">
      <alignment horizontal="center" vertical="center" wrapText="1"/>
    </xf>
    <xf numFmtId="0" fontId="0" fillId="0" borderId="3" xfId="0" applyBorder="1" applyAlignment="1">
      <alignment horizontal="center" vertical="center"/>
    </xf>
    <xf numFmtId="0" fontId="0" fillId="0" borderId="4" xfId="0" applyBorder="1" applyAlignment="1">
      <alignment horizontal="center" vertical="center" wrapText="1"/>
    </xf>
    <xf numFmtId="0" fontId="0" fillId="0" borderId="5" xfId="0" applyBorder="1" applyAlignment="1">
      <alignment horizontal="center" vertical="center" wrapText="1"/>
    </xf>
    <xf numFmtId="166" fontId="0" fillId="0" borderId="5" xfId="0" applyNumberFormat="1" applyBorder="1" applyAlignment="1">
      <alignment horizontal="center" vertical="center" wrapText="1"/>
    </xf>
    <xf numFmtId="0" fontId="0" fillId="0" borderId="5" xfId="0" applyBorder="1" applyAlignment="1">
      <alignment horizontal="center" vertical="center"/>
    </xf>
    <xf numFmtId="167" fontId="0" fillId="0" borderId="6" xfId="0" applyNumberFormat="1" applyBorder="1" applyAlignment="1">
      <alignment horizontal="center" vertical="center" wrapText="1"/>
    </xf>
    <xf numFmtId="0" fontId="0" fillId="0" borderId="7" xfId="0" applyBorder="1" applyAlignment="1">
      <alignment horizontal="center" vertical="center" wrapText="1"/>
    </xf>
    <xf numFmtId="167" fontId="0" fillId="0" borderId="8" xfId="0" applyNumberFormat="1" applyBorder="1" applyAlignment="1">
      <alignment horizontal="center" vertical="center" wrapText="1"/>
    </xf>
    <xf numFmtId="0" fontId="0" fillId="0" borderId="9" xfId="0" applyBorder="1" applyAlignment="1">
      <alignment horizontal="center" vertical="center" wrapText="1"/>
    </xf>
    <xf numFmtId="166" fontId="0" fillId="0" borderId="10" xfId="0" applyNumberFormat="1" applyBorder="1" applyAlignment="1">
      <alignment horizontal="center" vertical="center" wrapText="1"/>
    </xf>
    <xf numFmtId="0" fontId="0" fillId="0" borderId="10" xfId="0" applyBorder="1" applyAlignment="1">
      <alignment horizontal="center" vertical="center"/>
    </xf>
    <xf numFmtId="167" fontId="0" fillId="0" borderId="11" xfId="0" applyNumberFormat="1" applyBorder="1" applyAlignment="1">
      <alignment horizontal="center" vertical="center" wrapText="1"/>
    </xf>
    <xf numFmtId="0" fontId="0" fillId="0" borderId="1" xfId="0" applyBorder="1" applyAlignment="1">
      <alignment horizontal="center" vertical="center"/>
    </xf>
    <xf numFmtId="166" fontId="0" fillId="0" borderId="1" xfId="0" applyNumberFormat="1" applyBorder="1" applyAlignment="1">
      <alignment horizontal="center" vertical="center"/>
    </xf>
    <xf numFmtId="2" fontId="0" fillId="0" borderId="1" xfId="0" applyNumberFormat="1"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0" fontId="0" fillId="0" borderId="8" xfId="0" applyBorder="1" applyAlignment="1">
      <alignment horizontal="center" vertical="center" wrapText="1"/>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166" fontId="0" fillId="0" borderId="10" xfId="0" applyNumberFormat="1" applyBorder="1" applyAlignment="1">
      <alignment horizontal="center" vertical="center"/>
    </xf>
    <xf numFmtId="2" fontId="0" fillId="0" borderId="10" xfId="0" applyNumberFormat="1" applyBorder="1" applyAlignment="1">
      <alignment horizontal="center" vertical="center"/>
    </xf>
    <xf numFmtId="0" fontId="0" fillId="0" borderId="10" xfId="0" applyBorder="1" applyAlignment="1">
      <alignment horizontal="center" vertical="center" wrapText="1"/>
    </xf>
    <xf numFmtId="0" fontId="0" fillId="0" borderId="11" xfId="0" applyBorder="1" applyAlignment="1">
      <alignment horizontal="center" vertical="center"/>
    </xf>
    <xf numFmtId="0" fontId="0" fillId="0" borderId="12" xfId="0" applyBorder="1" applyAlignment="1">
      <alignment horizontal="center" vertical="center"/>
    </xf>
    <xf numFmtId="166" fontId="0" fillId="0" borderId="3" xfId="0" applyNumberFormat="1" applyBorder="1" applyAlignment="1">
      <alignment horizontal="center" vertical="center"/>
    </xf>
    <xf numFmtId="2" fontId="0" fillId="0" borderId="3" xfId="0" applyNumberFormat="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166" fontId="0" fillId="0" borderId="15" xfId="0" applyNumberFormat="1" applyBorder="1" applyAlignment="1">
      <alignment horizontal="center" vertical="center"/>
    </xf>
    <xf numFmtId="0" fontId="0" fillId="0" borderId="15" xfId="0" applyBorder="1" applyAlignment="1">
      <alignment horizontal="center" vertical="center"/>
    </xf>
    <xf numFmtId="2" fontId="0" fillId="0" borderId="15" xfId="0" applyNumberFormat="1" applyBorder="1" applyAlignment="1">
      <alignment horizontal="center" vertical="center"/>
    </xf>
    <xf numFmtId="0" fontId="0" fillId="0" borderId="15" xfId="0" applyBorder="1" applyAlignment="1">
      <alignment horizontal="center" vertical="center" wrapText="1"/>
    </xf>
    <xf numFmtId="0" fontId="0" fillId="0" borderId="16" xfId="0" applyBorder="1" applyAlignment="1">
      <alignment horizontal="center" vertical="center"/>
    </xf>
    <xf numFmtId="0" fontId="1" fillId="0" borderId="0" xfId="0" applyFont="1" applyAlignment="1">
      <alignment horizontal="center" vertical="center"/>
    </xf>
    <xf numFmtId="166" fontId="0" fillId="0" borderId="0" xfId="0" applyNumberFormat="1"/>
    <xf numFmtId="166" fontId="1" fillId="0" borderId="0" xfId="0" applyNumberFormat="1" applyFont="1" applyAlignment="1">
      <alignment horizontal="center" vertical="center" wrapText="1"/>
    </xf>
    <xf numFmtId="0" fontId="2" fillId="0" borderId="0" xfId="0" applyFont="1" applyAlignment="1">
      <alignment horizontal="center" vertical="center"/>
    </xf>
    <xf numFmtId="0" fontId="0" fillId="0" borderId="1" xfId="0" applyBorder="1" applyAlignment="1">
      <alignment vertical="center"/>
    </xf>
    <xf numFmtId="0" fontId="0" fillId="0" borderId="11" xfId="0" applyBorder="1" applyAlignment="1">
      <alignment vertical="center"/>
    </xf>
    <xf numFmtId="0" fontId="0" fillId="0" borderId="20" xfId="0" applyBorder="1" applyAlignment="1">
      <alignment horizontal="center" vertical="center"/>
    </xf>
    <xf numFmtId="166" fontId="0" fillId="0" borderId="19" xfId="0" applyNumberFormat="1" applyBorder="1" applyAlignment="1">
      <alignment horizontal="center" vertical="center"/>
    </xf>
    <xf numFmtId="0" fontId="0" fillId="0" borderId="19" xfId="0" applyBorder="1" applyAlignment="1">
      <alignment horizontal="center" vertical="center" wrapText="1"/>
    </xf>
    <xf numFmtId="2" fontId="0" fillId="0" borderId="19" xfId="0" applyNumberFormat="1" applyBorder="1" applyAlignment="1">
      <alignment horizontal="center" vertical="center" wrapText="1"/>
    </xf>
    <xf numFmtId="0" fontId="0" fillId="0" borderId="21" xfId="0" applyBorder="1" applyAlignment="1">
      <alignment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0" fillId="0" borderId="1" xfId="0" applyBorder="1"/>
    <xf numFmtId="0" fontId="0" fillId="0" borderId="8" xfId="0" applyBorder="1"/>
    <xf numFmtId="0" fontId="0" fillId="0" borderId="11" xfId="0" applyBorder="1"/>
    <xf numFmtId="0" fontId="0" fillId="0" borderId="13" xfId="0" applyBorder="1"/>
    <xf numFmtId="0" fontId="0" fillId="0" borderId="6" xfId="0" applyBorder="1" applyAlignment="1">
      <alignment horizontal="center" vertical="center" wrapText="1"/>
    </xf>
    <xf numFmtId="0" fontId="0" fillId="0" borderId="10" xfId="0" applyBorder="1" applyAlignment="1">
      <alignment horizontal="center" wrapText="1"/>
    </xf>
    <xf numFmtId="0" fontId="0" fillId="0" borderId="11" xfId="0" applyBorder="1" applyAlignment="1">
      <alignment horizontal="center" vertical="center" wrapText="1"/>
    </xf>
    <xf numFmtId="166" fontId="0" fillId="0" borderId="5" xfId="0" applyNumberFormat="1" applyBorder="1" applyAlignment="1">
      <alignment horizontal="center" vertical="center"/>
    </xf>
    <xf numFmtId="0" fontId="0" fillId="0" borderId="5" xfId="0" applyBorder="1" applyAlignment="1">
      <alignment vertical="center"/>
    </xf>
    <xf numFmtId="0" fontId="0" fillId="0" borderId="6" xfId="0" applyBorder="1"/>
    <xf numFmtId="0" fontId="0" fillId="0" borderId="10" xfId="0" applyBorder="1" applyAlignment="1">
      <alignment vertical="center"/>
    </xf>
    <xf numFmtId="0" fontId="0" fillId="0" borderId="10" xfId="0" applyBorder="1"/>
    <xf numFmtId="0" fontId="0" fillId="0" borderId="3" xfId="0" applyBorder="1" applyAlignment="1">
      <alignment vertical="center"/>
    </xf>
    <xf numFmtId="0" fontId="0" fillId="0" borderId="6" xfId="0" applyBorder="1" applyAlignment="1">
      <alignment vertical="center"/>
    </xf>
    <xf numFmtId="0" fontId="0" fillId="0" borderId="8" xfId="0" applyBorder="1" applyAlignment="1">
      <alignment vertical="center"/>
    </xf>
    <xf numFmtId="165" fontId="0" fillId="0" borderId="5" xfId="0" applyNumberFormat="1" applyBorder="1" applyAlignment="1">
      <alignment horizontal="center" vertical="center"/>
    </xf>
    <xf numFmtId="165" fontId="0" fillId="0" borderId="1" xfId="0" applyNumberFormat="1" applyBorder="1" applyAlignment="1">
      <alignment horizontal="center" vertical="center"/>
    </xf>
    <xf numFmtId="165" fontId="0" fillId="0" borderId="10" xfId="0" applyNumberFormat="1" applyBorder="1" applyAlignment="1">
      <alignment horizontal="center" vertical="center"/>
    </xf>
    <xf numFmtId="165" fontId="0" fillId="0" borderId="3" xfId="0" applyNumberFormat="1" applyBorder="1" applyAlignment="1">
      <alignment horizontal="center" vertical="center"/>
    </xf>
    <xf numFmtId="0" fontId="0" fillId="0" borderId="15" xfId="0" applyBorder="1" applyAlignment="1">
      <alignment vertical="center"/>
    </xf>
    <xf numFmtId="0" fontId="0" fillId="0" borderId="16" xfId="0" applyBorder="1" applyAlignment="1">
      <alignment vertical="center"/>
    </xf>
    <xf numFmtId="0" fontId="0" fillId="0" borderId="32" xfId="0" applyBorder="1" applyAlignment="1">
      <alignment vertical="center"/>
    </xf>
    <xf numFmtId="166" fontId="1" fillId="0" borderId="2" xfId="0" applyNumberFormat="1" applyFont="1" applyBorder="1" applyAlignment="1">
      <alignment horizontal="center" vertical="center"/>
    </xf>
    <xf numFmtId="0" fontId="1" fillId="0" borderId="30" xfId="0" applyFont="1" applyBorder="1" applyAlignment="1">
      <alignment horizontal="center" vertical="center"/>
    </xf>
    <xf numFmtId="0" fontId="0" fillId="0" borderId="8" xfId="0" applyBorder="1" applyAlignment="1">
      <alignment vertical="center" wrapText="1"/>
    </xf>
    <xf numFmtId="0" fontId="0" fillId="0" borderId="6" xfId="0" applyBorder="1" applyAlignment="1">
      <alignment vertical="center" wrapText="1"/>
    </xf>
    <xf numFmtId="0" fontId="0" fillId="0" borderId="11" xfId="0" applyBorder="1" applyAlignment="1">
      <alignment vertical="center" wrapText="1"/>
    </xf>
    <xf numFmtId="166" fontId="1" fillId="0" borderId="0" xfId="0" applyNumberFormat="1" applyFont="1" applyAlignment="1">
      <alignment horizontal="center" vertical="center"/>
    </xf>
    <xf numFmtId="166" fontId="0" fillId="0" borderId="6" xfId="0" applyNumberFormat="1" applyBorder="1" applyAlignment="1">
      <alignment horizontal="center" vertical="center" wrapText="1"/>
    </xf>
    <xf numFmtId="166" fontId="0" fillId="0" borderId="8" xfId="0" applyNumberFormat="1" applyBorder="1" applyAlignment="1">
      <alignment horizontal="center" vertical="center"/>
    </xf>
    <xf numFmtId="2" fontId="0" fillId="0" borderId="0" xfId="0" applyNumberFormat="1"/>
    <xf numFmtId="0" fontId="1" fillId="2" borderId="26" xfId="0" applyFont="1" applyFill="1" applyBorder="1" applyAlignment="1">
      <alignment horizontal="center"/>
    </xf>
    <xf numFmtId="0" fontId="1" fillId="2" borderId="22" xfId="0" applyFont="1" applyFill="1" applyBorder="1" applyAlignment="1">
      <alignment horizontal="center"/>
    </xf>
    <xf numFmtId="0" fontId="1" fillId="2" borderId="27" xfId="0" applyFont="1" applyFill="1" applyBorder="1" applyAlignment="1">
      <alignment horizontal="center"/>
    </xf>
    <xf numFmtId="0" fontId="1" fillId="2" borderId="28" xfId="0" applyFont="1" applyFill="1" applyBorder="1" applyAlignment="1">
      <alignment horizontal="center"/>
    </xf>
    <xf numFmtId="0" fontId="1" fillId="2" borderId="0" xfId="0" applyFont="1" applyFill="1" applyAlignment="1">
      <alignment horizontal="center"/>
    </xf>
    <xf numFmtId="0" fontId="1" fillId="2" borderId="29" xfId="0" applyFont="1" applyFill="1" applyBorder="1" applyAlignment="1">
      <alignment horizontal="center"/>
    </xf>
    <xf numFmtId="0" fontId="1" fillId="2" borderId="20" xfId="0" applyFont="1" applyFill="1" applyBorder="1" applyAlignment="1">
      <alignment horizontal="center"/>
    </xf>
    <xf numFmtId="0" fontId="1" fillId="2" borderId="19" xfId="0" applyFont="1" applyFill="1" applyBorder="1" applyAlignment="1">
      <alignment horizontal="center"/>
    </xf>
    <xf numFmtId="0" fontId="1" fillId="2" borderId="21" xfId="0" applyFont="1" applyFill="1" applyBorder="1" applyAlignment="1">
      <alignment horizontal="center"/>
    </xf>
    <xf numFmtId="0" fontId="1" fillId="2" borderId="14" xfId="0" applyFont="1" applyFill="1" applyBorder="1" applyAlignment="1">
      <alignment horizontal="center"/>
    </xf>
    <xf numFmtId="0" fontId="1" fillId="2" borderId="15" xfId="0" applyFont="1" applyFill="1" applyBorder="1" applyAlignment="1">
      <alignment horizontal="center"/>
    </xf>
    <xf numFmtId="0" fontId="1" fillId="2" borderId="16" xfId="0" applyFont="1" applyFill="1" applyBorder="1" applyAlignment="1">
      <alignment horizontal="center"/>
    </xf>
    <xf numFmtId="0" fontId="0" fillId="0" borderId="3" xfId="0" applyBorder="1" applyAlignment="1">
      <alignment horizontal="center" vertical="center"/>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0" fillId="0" borderId="10" xfId="0" applyBorder="1" applyAlignment="1">
      <alignment horizontal="center" vertical="center" wrapText="1"/>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0" fillId="0" borderId="4" xfId="0" applyBorder="1" applyAlignment="1">
      <alignment horizontal="center" vertical="center" wrapText="1"/>
    </xf>
    <xf numFmtId="0" fontId="0" fillId="0" borderId="9" xfId="0" applyBorder="1" applyAlignment="1">
      <alignment horizontal="center" vertical="center" wrapText="1"/>
    </xf>
    <xf numFmtId="166" fontId="0" fillId="0" borderId="5" xfId="0" applyNumberFormat="1"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11" xfId="0" applyBorder="1" applyAlignment="1">
      <alignment horizontal="center" vertical="center" wrapText="1"/>
    </xf>
    <xf numFmtId="0" fontId="0" fillId="0" borderId="0" xfId="0" applyAlignment="1">
      <alignment horizontal="center" vertical="center"/>
    </xf>
    <xf numFmtId="0" fontId="0" fillId="0" borderId="0" xfId="0" applyAlignment="1">
      <alignment horizontal="left" vertical="center" wrapText="1"/>
    </xf>
    <xf numFmtId="0" fontId="0" fillId="0" borderId="0" xfId="0" applyAlignment="1">
      <alignment horizontal="left" vertical="center"/>
    </xf>
    <xf numFmtId="0" fontId="1" fillId="0" borderId="14" xfId="0" applyFont="1" applyBorder="1" applyAlignment="1">
      <alignment horizontal="center" vertical="center" wrapText="1"/>
    </xf>
    <xf numFmtId="0" fontId="1" fillId="0" borderId="15"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33" xfId="0" applyFont="1" applyBorder="1" applyAlignment="1">
      <alignment horizontal="center" vertical="center"/>
    </xf>
    <xf numFmtId="0" fontId="1" fillId="0" borderId="30" xfId="0" applyFont="1" applyBorder="1" applyAlignment="1">
      <alignment horizontal="center" vertical="center"/>
    </xf>
    <xf numFmtId="0" fontId="1" fillId="0" borderId="34" xfId="0" applyFont="1" applyBorder="1" applyAlignment="1">
      <alignment horizontal="center" vertical="center"/>
    </xf>
    <xf numFmtId="0" fontId="0" fillId="0" borderId="7" xfId="0" applyBorder="1" applyAlignment="1">
      <alignment horizontal="center" vertical="center"/>
    </xf>
    <xf numFmtId="0" fontId="0" fillId="0" borderId="4" xfId="0" applyBorder="1" applyAlignment="1">
      <alignment horizontal="center" vertical="center"/>
    </xf>
    <xf numFmtId="0" fontId="0" fillId="0" borderId="36" xfId="0" applyBorder="1" applyAlignment="1">
      <alignment horizontal="center" vertical="center" wrapText="1"/>
    </xf>
    <xf numFmtId="0" fontId="0" fillId="0" borderId="13" xfId="0" applyBorder="1" applyAlignment="1">
      <alignment horizontal="center" vertical="center" wrapText="1"/>
    </xf>
    <xf numFmtId="0" fontId="0" fillId="0" borderId="34" xfId="0" applyBorder="1" applyAlignment="1">
      <alignment horizontal="center" vertical="center" wrapText="1"/>
    </xf>
    <xf numFmtId="0" fontId="0" fillId="0" borderId="21" xfId="0" applyBorder="1" applyAlignment="1">
      <alignment horizontal="center" vertical="center" wrapText="1"/>
    </xf>
    <xf numFmtId="0" fontId="0" fillId="0" borderId="35" xfId="0" applyBorder="1" applyAlignment="1">
      <alignment horizontal="center" vertical="center"/>
    </xf>
    <xf numFmtId="0" fontId="0" fillId="0" borderId="12" xfId="0" applyBorder="1" applyAlignment="1">
      <alignment horizontal="center" vertical="center"/>
    </xf>
    <xf numFmtId="0" fontId="0" fillId="0" borderId="33" xfId="0" applyBorder="1" applyAlignment="1">
      <alignment horizontal="center" vertical="center"/>
    </xf>
    <xf numFmtId="0" fontId="0" fillId="0" borderId="20" xfId="0" applyBorder="1" applyAlignment="1">
      <alignment horizontal="center" vertical="center"/>
    </xf>
    <xf numFmtId="0" fontId="0" fillId="0" borderId="9" xfId="0" applyBorder="1" applyAlignment="1">
      <alignment horizontal="center" vertical="center"/>
    </xf>
    <xf numFmtId="0" fontId="1" fillId="0" borderId="14" xfId="0" applyFont="1" applyBorder="1" applyAlignment="1">
      <alignment horizontal="center" vertical="center"/>
    </xf>
    <xf numFmtId="0" fontId="1" fillId="0" borderId="15" xfId="0" applyFont="1" applyBorder="1" applyAlignment="1">
      <alignment horizontal="center" vertical="center"/>
    </xf>
    <xf numFmtId="0" fontId="1" fillId="0" borderId="31" xfId="0" applyFont="1" applyBorder="1" applyAlignment="1">
      <alignment horizontal="center" vertical="center"/>
    </xf>
    <xf numFmtId="0" fontId="1" fillId="0" borderId="16"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0" borderId="0" xfId="0" applyAlignment="1">
      <alignment horizontal="center" vertical="center" wrapText="1"/>
    </xf>
    <xf numFmtId="0" fontId="1" fillId="0" borderId="4" xfId="0" applyFont="1" applyBorder="1" applyAlignment="1">
      <alignment horizontal="center" vertical="center" wrapText="1"/>
    </xf>
    <xf numFmtId="0" fontId="1" fillId="0" borderId="9" xfId="0" applyFont="1" applyBorder="1" applyAlignment="1">
      <alignment horizontal="center" vertical="center" wrapText="1"/>
    </xf>
    <xf numFmtId="0" fontId="1" fillId="0" borderId="5"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13" xfId="0" applyFont="1"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5" xfId="0" applyBorder="1" applyAlignment="1">
      <alignment horizontal="center" vertical="center"/>
    </xf>
    <xf numFmtId="0" fontId="0" fillId="0" borderId="6" xfId="0" applyBorder="1" applyAlignment="1">
      <alignment horizontal="center" vertical="center"/>
    </xf>
    <xf numFmtId="0" fontId="0" fillId="0" borderId="10" xfId="0" applyBorder="1" applyAlignment="1">
      <alignment horizontal="center" vertical="center"/>
    </xf>
    <xf numFmtId="0" fontId="0" fillId="0" borderId="11" xfId="0" applyBorder="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vertical="center"/>
    </xf>
    <xf numFmtId="166" fontId="0" fillId="0" borderId="19" xfId="0" applyNumberFormat="1" applyBorder="1" applyAlignment="1">
      <alignment horizontal="center" vertical="center" wrapText="1"/>
    </xf>
    <xf numFmtId="0" fontId="0" fillId="0" borderId="0" xfId="0" applyAlignment="1">
      <alignment horizontal="center"/>
    </xf>
    <xf numFmtId="0" fontId="1" fillId="0" borderId="23" xfId="0" applyFont="1" applyBorder="1" applyAlignment="1">
      <alignment horizontal="center" vertical="center"/>
    </xf>
    <xf numFmtId="0" fontId="1" fillId="0" borderId="24" xfId="0" applyFont="1" applyBorder="1" applyAlignment="1">
      <alignment horizontal="center" vertical="center"/>
    </xf>
    <xf numFmtId="0" fontId="1" fillId="0" borderId="25" xfId="0" applyFont="1" applyBorder="1" applyAlignment="1">
      <alignment horizontal="center" vertical="center"/>
    </xf>
    <xf numFmtId="0" fontId="1" fillId="0" borderId="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BF28A-F34E-4416-AE06-AC164CE01776}">
  <dimension ref="B1:D17"/>
  <sheetViews>
    <sheetView tabSelected="1" workbookViewId="0">
      <selection activeCell="G22" sqref="G22"/>
    </sheetView>
  </sheetViews>
  <sheetFormatPr defaultRowHeight="15" x14ac:dyDescent="0.25"/>
  <cols>
    <col min="1" max="1" width="9.140625" style="7"/>
    <col min="2" max="2" width="9" style="7" customWidth="1"/>
    <col min="3" max="3" width="54.28515625" style="7" customWidth="1"/>
    <col min="4" max="4" width="25.7109375" style="7" customWidth="1"/>
    <col min="5" max="16384" width="9.140625" style="7"/>
  </cols>
  <sheetData>
    <row r="1" spans="2:4" x14ac:dyDescent="0.25">
      <c r="B1" s="128" t="s">
        <v>194</v>
      </c>
      <c r="C1" s="128"/>
      <c r="D1" s="128"/>
    </row>
    <row r="2" spans="2:4" x14ac:dyDescent="0.25">
      <c r="B2" s="128" t="s">
        <v>181</v>
      </c>
      <c r="C2" s="128"/>
      <c r="D2" s="128"/>
    </row>
    <row r="3" spans="2:4" s="4" customFormat="1" x14ac:dyDescent="0.25">
      <c r="B3" s="4" t="s">
        <v>1</v>
      </c>
      <c r="C3" s="4" t="s">
        <v>180</v>
      </c>
      <c r="D3" s="4" t="s">
        <v>195</v>
      </c>
    </row>
    <row r="4" spans="2:4" x14ac:dyDescent="0.25">
      <c r="B4" s="7">
        <v>1</v>
      </c>
      <c r="C4" s="7" t="s">
        <v>182</v>
      </c>
      <c r="D4" s="7" t="s">
        <v>185</v>
      </c>
    </row>
    <row r="5" spans="2:4" x14ac:dyDescent="0.25">
      <c r="B5" s="7">
        <f>+B4+1</f>
        <v>2</v>
      </c>
      <c r="C5" s="7" t="s">
        <v>183</v>
      </c>
      <c r="D5" s="7" t="s">
        <v>186</v>
      </c>
    </row>
    <row r="6" spans="2:4" x14ac:dyDescent="0.25">
      <c r="B6" s="7">
        <f>+B5+1</f>
        <v>3</v>
      </c>
      <c r="C6" s="7" t="s">
        <v>184</v>
      </c>
      <c r="D6" s="7" t="s">
        <v>187</v>
      </c>
    </row>
    <row r="7" spans="2:4" x14ac:dyDescent="0.25">
      <c r="B7" s="7">
        <f t="shared" ref="B7:B8" si="0">+B6+1</f>
        <v>4</v>
      </c>
      <c r="C7" s="7" t="s">
        <v>188</v>
      </c>
      <c r="D7" s="7" t="s">
        <v>190</v>
      </c>
    </row>
    <row r="8" spans="2:4" x14ac:dyDescent="0.25">
      <c r="B8" s="7">
        <f t="shared" si="0"/>
        <v>5</v>
      </c>
      <c r="C8" s="7" t="s">
        <v>189</v>
      </c>
      <c r="D8" s="7" t="s">
        <v>191</v>
      </c>
    </row>
    <row r="9" spans="2:4" x14ac:dyDescent="0.25">
      <c r="C9" s="7" t="s">
        <v>135</v>
      </c>
      <c r="D9" s="7" t="s">
        <v>192</v>
      </c>
    </row>
    <row r="11" spans="2:4" x14ac:dyDescent="0.25">
      <c r="B11" s="128" t="s">
        <v>193</v>
      </c>
      <c r="C11" s="128"/>
      <c r="D11" s="128"/>
    </row>
    <row r="12" spans="2:4" s="4" customFormat="1" x14ac:dyDescent="0.25">
      <c r="B12" s="4" t="s">
        <v>1</v>
      </c>
      <c r="C12" s="4" t="s">
        <v>180</v>
      </c>
      <c r="D12" s="4" t="s">
        <v>195</v>
      </c>
    </row>
    <row r="13" spans="2:4" x14ac:dyDescent="0.25">
      <c r="B13" s="7">
        <v>1</v>
      </c>
      <c r="C13" s="7" t="s">
        <v>196</v>
      </c>
      <c r="D13" s="7" t="s">
        <v>198</v>
      </c>
    </row>
    <row r="14" spans="2:4" x14ac:dyDescent="0.25">
      <c r="B14" s="7">
        <v>2</v>
      </c>
      <c r="C14" s="7" t="s">
        <v>197</v>
      </c>
      <c r="D14" s="7" t="s">
        <v>199</v>
      </c>
    </row>
    <row r="15" spans="2:4" x14ac:dyDescent="0.25">
      <c r="B15" s="7">
        <v>3</v>
      </c>
      <c r="C15" s="7" t="s">
        <v>188</v>
      </c>
      <c r="D15" s="7" t="s">
        <v>199</v>
      </c>
    </row>
    <row r="16" spans="2:4" x14ac:dyDescent="0.25">
      <c r="B16" s="7">
        <v>4</v>
      </c>
      <c r="C16" s="7" t="s">
        <v>189</v>
      </c>
      <c r="D16" s="7" t="s">
        <v>191</v>
      </c>
    </row>
    <row r="17" spans="3:4" x14ac:dyDescent="0.25">
      <c r="C17" s="7" t="s">
        <v>135</v>
      </c>
      <c r="D17" s="7" t="s">
        <v>200</v>
      </c>
    </row>
  </sheetData>
  <mergeCells count="3">
    <mergeCell ref="B11:D11"/>
    <mergeCell ref="B2:D2"/>
    <mergeCell ref="B1:D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E48CC-05B3-4722-B209-8DC80A20C4B1}">
  <dimension ref="A1:H85"/>
  <sheetViews>
    <sheetView topLeftCell="A68" workbookViewId="0">
      <selection activeCell="F90" sqref="F90"/>
    </sheetView>
  </sheetViews>
  <sheetFormatPr defaultRowHeight="15" x14ac:dyDescent="0.25"/>
  <cols>
    <col min="2" max="3" width="9.85546875" customWidth="1"/>
    <col min="4" max="4" width="11.7109375" bestFit="1" customWidth="1"/>
    <col min="6" max="6" width="83.5703125" customWidth="1"/>
    <col min="7" max="7" width="21.85546875" customWidth="1"/>
  </cols>
  <sheetData>
    <row r="1" spans="1:8" ht="21" customHeight="1" thickBot="1" x14ac:dyDescent="0.3">
      <c r="A1" s="148" t="s">
        <v>123</v>
      </c>
      <c r="B1" s="149"/>
      <c r="C1" s="149"/>
      <c r="D1" s="149"/>
      <c r="E1" s="149"/>
      <c r="F1" s="149"/>
      <c r="G1" s="151"/>
    </row>
    <row r="2" spans="1:8" ht="39.75" customHeight="1" thickBot="1" x14ac:dyDescent="0.3">
      <c r="A2" s="131" t="s">
        <v>142</v>
      </c>
      <c r="B2" s="132"/>
      <c r="C2" s="132"/>
      <c r="D2" s="132"/>
      <c r="E2" s="132"/>
      <c r="F2" s="132"/>
      <c r="G2" s="133"/>
    </row>
    <row r="3" spans="1:8" x14ac:dyDescent="0.25">
      <c r="A3" s="119" t="s">
        <v>1</v>
      </c>
      <c r="B3" s="120" t="s">
        <v>124</v>
      </c>
      <c r="C3" s="120"/>
      <c r="D3" s="120" t="s">
        <v>5</v>
      </c>
      <c r="E3" s="120" t="s">
        <v>9</v>
      </c>
      <c r="F3" s="120" t="s">
        <v>127</v>
      </c>
      <c r="G3" s="121" t="s">
        <v>24</v>
      </c>
    </row>
    <row r="4" spans="1:8" ht="15.75" thickBot="1" x14ac:dyDescent="0.3">
      <c r="A4" s="152"/>
      <c r="B4" s="70" t="s">
        <v>125</v>
      </c>
      <c r="C4" s="70" t="s">
        <v>126</v>
      </c>
      <c r="D4" s="153"/>
      <c r="E4" s="153"/>
      <c r="F4" s="153"/>
      <c r="G4" s="154"/>
    </row>
    <row r="5" spans="1:8" s="7" customFormat="1" ht="30" x14ac:dyDescent="0.25">
      <c r="A5" s="38">
        <v>1</v>
      </c>
      <c r="B5" s="79">
        <v>0</v>
      </c>
      <c r="C5" s="27">
        <v>17.488</v>
      </c>
      <c r="D5" s="79">
        <f t="shared" ref="D5:D22" si="0">+C5-B5</f>
        <v>17.488</v>
      </c>
      <c r="E5" s="27" t="s">
        <v>128</v>
      </c>
      <c r="F5" s="25" t="s">
        <v>137</v>
      </c>
      <c r="G5" s="39"/>
    </row>
    <row r="6" spans="1:8" ht="36" customHeight="1" x14ac:dyDescent="0.25">
      <c r="A6" s="41">
        <f>+A5+1</f>
        <v>2</v>
      </c>
      <c r="B6" s="35">
        <f t="shared" ref="B6:B22" si="1">+C5</f>
        <v>17.488</v>
      </c>
      <c r="C6" s="36">
        <v>17.87</v>
      </c>
      <c r="D6" s="35">
        <f t="shared" si="0"/>
        <v>0.38200000000000145</v>
      </c>
      <c r="E6" s="35" t="s">
        <v>49</v>
      </c>
      <c r="F6" s="11" t="s">
        <v>136</v>
      </c>
      <c r="G6" s="73"/>
    </row>
    <row r="7" spans="1:8" ht="30" x14ac:dyDescent="0.25">
      <c r="A7" s="41">
        <f>+A6+1</f>
        <v>3</v>
      </c>
      <c r="B7" s="36">
        <f t="shared" si="1"/>
        <v>17.87</v>
      </c>
      <c r="C7" s="36">
        <v>19.27</v>
      </c>
      <c r="D7" s="36">
        <f t="shared" si="0"/>
        <v>1.3999999999999986</v>
      </c>
      <c r="E7" s="35" t="s">
        <v>56</v>
      </c>
      <c r="F7" s="11" t="s">
        <v>130</v>
      </c>
      <c r="G7" s="73"/>
    </row>
    <row r="8" spans="1:8" ht="37.5" customHeight="1" x14ac:dyDescent="0.25">
      <c r="A8" s="41">
        <f t="shared" ref="A8:A15" si="2">+A7+1</f>
        <v>4</v>
      </c>
      <c r="B8" s="36">
        <f t="shared" si="1"/>
        <v>19.27</v>
      </c>
      <c r="C8" s="36">
        <v>19.93</v>
      </c>
      <c r="D8" s="36">
        <f t="shared" si="0"/>
        <v>0.66000000000000014</v>
      </c>
      <c r="E8" s="35" t="s">
        <v>49</v>
      </c>
      <c r="F8" s="11" t="s">
        <v>129</v>
      </c>
      <c r="G8" s="73"/>
      <c r="H8" s="3"/>
    </row>
    <row r="9" spans="1:8" ht="30" x14ac:dyDescent="0.25">
      <c r="A9" s="41">
        <f t="shared" si="2"/>
        <v>5</v>
      </c>
      <c r="B9" s="36">
        <f t="shared" si="1"/>
        <v>19.93</v>
      </c>
      <c r="C9" s="36">
        <v>21.36</v>
      </c>
      <c r="D9" s="36">
        <f t="shared" si="0"/>
        <v>1.4299999999999997</v>
      </c>
      <c r="E9" s="35" t="s">
        <v>56</v>
      </c>
      <c r="F9" s="11" t="s">
        <v>138</v>
      </c>
      <c r="G9" s="73"/>
    </row>
    <row r="10" spans="1:8" ht="36.75" customHeight="1" x14ac:dyDescent="0.25">
      <c r="A10" s="41">
        <f t="shared" si="2"/>
        <v>6</v>
      </c>
      <c r="B10" s="36">
        <f t="shared" si="1"/>
        <v>21.36</v>
      </c>
      <c r="C10" s="36">
        <v>22.01</v>
      </c>
      <c r="D10" s="36">
        <f t="shared" si="0"/>
        <v>0.65000000000000213</v>
      </c>
      <c r="E10" s="35" t="s">
        <v>49</v>
      </c>
      <c r="F10" s="11" t="s">
        <v>136</v>
      </c>
      <c r="G10" s="73"/>
    </row>
    <row r="11" spans="1:8" ht="30" x14ac:dyDescent="0.25">
      <c r="A11" s="41">
        <f t="shared" si="2"/>
        <v>7</v>
      </c>
      <c r="B11" s="36">
        <f t="shared" si="1"/>
        <v>22.01</v>
      </c>
      <c r="C11" s="36">
        <v>23.45</v>
      </c>
      <c r="D11" s="36">
        <f t="shared" si="0"/>
        <v>1.4399999999999977</v>
      </c>
      <c r="E11" s="35" t="s">
        <v>56</v>
      </c>
      <c r="F11" s="11" t="s">
        <v>138</v>
      </c>
      <c r="G11" s="73"/>
    </row>
    <row r="12" spans="1:8" ht="30" x14ac:dyDescent="0.25">
      <c r="A12" s="41">
        <f t="shared" si="2"/>
        <v>8</v>
      </c>
      <c r="B12" s="36">
        <f t="shared" si="1"/>
        <v>23.45</v>
      </c>
      <c r="C12" s="36">
        <v>24.11</v>
      </c>
      <c r="D12" s="36">
        <f t="shared" si="0"/>
        <v>0.66000000000000014</v>
      </c>
      <c r="E12" s="35" t="s">
        <v>57</v>
      </c>
      <c r="F12" s="11" t="s">
        <v>131</v>
      </c>
      <c r="G12" s="73"/>
    </row>
    <row r="13" spans="1:8" ht="30" x14ac:dyDescent="0.25">
      <c r="A13" s="41">
        <f t="shared" si="2"/>
        <v>9</v>
      </c>
      <c r="B13" s="36">
        <f t="shared" si="1"/>
        <v>24.11</v>
      </c>
      <c r="C13" s="36">
        <v>24.72</v>
      </c>
      <c r="D13" s="36">
        <f t="shared" si="0"/>
        <v>0.60999999999999943</v>
      </c>
      <c r="E13" s="35" t="s">
        <v>50</v>
      </c>
      <c r="F13" s="11" t="s">
        <v>132</v>
      </c>
      <c r="G13" s="73"/>
    </row>
    <row r="14" spans="1:8" ht="30" x14ac:dyDescent="0.25">
      <c r="A14" s="41">
        <f t="shared" si="2"/>
        <v>10</v>
      </c>
      <c r="B14" s="36">
        <f t="shared" si="1"/>
        <v>24.72</v>
      </c>
      <c r="C14" s="36">
        <v>27.6</v>
      </c>
      <c r="D14" s="36">
        <f t="shared" si="0"/>
        <v>2.8800000000000026</v>
      </c>
      <c r="E14" s="35" t="s">
        <v>57</v>
      </c>
      <c r="F14" s="11" t="s">
        <v>131</v>
      </c>
      <c r="G14" s="73"/>
    </row>
    <row r="15" spans="1:8" ht="30" x14ac:dyDescent="0.25">
      <c r="A15" s="41">
        <f t="shared" si="2"/>
        <v>11</v>
      </c>
      <c r="B15" s="36">
        <f t="shared" si="1"/>
        <v>27.6</v>
      </c>
      <c r="C15" s="36">
        <v>28.12</v>
      </c>
      <c r="D15" s="36">
        <f t="shared" si="0"/>
        <v>0.51999999999999957</v>
      </c>
      <c r="E15" s="35" t="s">
        <v>50</v>
      </c>
      <c r="F15" s="11" t="s">
        <v>132</v>
      </c>
      <c r="G15" s="73"/>
    </row>
    <row r="16" spans="1:8" ht="30" x14ac:dyDescent="0.25">
      <c r="A16" s="41">
        <f t="shared" ref="A16" si="3">+A15+1</f>
        <v>12</v>
      </c>
      <c r="B16" s="36">
        <f t="shared" si="1"/>
        <v>28.12</v>
      </c>
      <c r="C16" s="36">
        <v>29.49</v>
      </c>
      <c r="D16" s="36">
        <f t="shared" si="0"/>
        <v>1.3699999999999974</v>
      </c>
      <c r="E16" s="35" t="s">
        <v>57</v>
      </c>
      <c r="F16" s="11" t="s">
        <v>131</v>
      </c>
      <c r="G16" s="73"/>
    </row>
    <row r="17" spans="1:8" ht="30" x14ac:dyDescent="0.25">
      <c r="A17" s="41">
        <f t="shared" ref="A17" si="4">+A16+1</f>
        <v>13</v>
      </c>
      <c r="B17" s="36">
        <f t="shared" si="1"/>
        <v>29.49</v>
      </c>
      <c r="C17" s="36">
        <v>30.06</v>
      </c>
      <c r="D17" s="36">
        <f t="shared" si="0"/>
        <v>0.57000000000000028</v>
      </c>
      <c r="E17" s="35" t="s">
        <v>50</v>
      </c>
      <c r="F17" s="11" t="s">
        <v>139</v>
      </c>
      <c r="G17" s="73"/>
    </row>
    <row r="18" spans="1:8" ht="30" x14ac:dyDescent="0.25">
      <c r="A18" s="41">
        <f t="shared" ref="A18" si="5">+A17+1</f>
        <v>14</v>
      </c>
      <c r="B18" s="36">
        <f t="shared" si="1"/>
        <v>30.06</v>
      </c>
      <c r="C18" s="36">
        <v>32.22</v>
      </c>
      <c r="D18" s="35">
        <f t="shared" si="0"/>
        <v>2.16</v>
      </c>
      <c r="E18" s="35" t="s">
        <v>57</v>
      </c>
      <c r="F18" s="11" t="s">
        <v>140</v>
      </c>
      <c r="G18" s="73"/>
    </row>
    <row r="19" spans="1:8" ht="30" x14ac:dyDescent="0.25">
      <c r="A19" s="41">
        <f t="shared" ref="A19" si="6">+A18+1</f>
        <v>15</v>
      </c>
      <c r="B19" s="36">
        <f t="shared" si="1"/>
        <v>32.22</v>
      </c>
      <c r="C19" s="36">
        <v>32.869999999999997</v>
      </c>
      <c r="D19" s="35">
        <f t="shared" si="0"/>
        <v>0.64999999999999858</v>
      </c>
      <c r="E19" s="35" t="s">
        <v>50</v>
      </c>
      <c r="F19" s="11" t="s">
        <v>133</v>
      </c>
      <c r="G19" s="73"/>
    </row>
    <row r="20" spans="1:8" ht="30" x14ac:dyDescent="0.25">
      <c r="A20" s="41">
        <f t="shared" ref="A20" si="7">+A19+1</f>
        <v>16</v>
      </c>
      <c r="B20" s="36">
        <f t="shared" si="1"/>
        <v>32.869999999999997</v>
      </c>
      <c r="C20" s="36">
        <v>34.01</v>
      </c>
      <c r="D20" s="35">
        <f t="shared" si="0"/>
        <v>1.1400000000000006</v>
      </c>
      <c r="E20" s="35" t="s">
        <v>57</v>
      </c>
      <c r="F20" s="11" t="s">
        <v>131</v>
      </c>
      <c r="G20" s="73"/>
    </row>
    <row r="21" spans="1:8" ht="30" x14ac:dyDescent="0.25">
      <c r="A21" s="41">
        <f t="shared" ref="A21" si="8">+A20+1</f>
        <v>17</v>
      </c>
      <c r="B21" s="36">
        <f t="shared" si="1"/>
        <v>34.01</v>
      </c>
      <c r="C21" s="36">
        <v>34.531999999999996</v>
      </c>
      <c r="D21" s="35">
        <f t="shared" si="0"/>
        <v>0.52199999999999847</v>
      </c>
      <c r="E21" s="35" t="s">
        <v>50</v>
      </c>
      <c r="F21" s="11" t="s">
        <v>133</v>
      </c>
      <c r="G21" s="73"/>
    </row>
    <row r="22" spans="1:8" ht="21.75" customHeight="1" thickBot="1" x14ac:dyDescent="0.3">
      <c r="A22" s="43">
        <f t="shared" ref="A22" si="9">+A21+1</f>
        <v>18</v>
      </c>
      <c r="B22" s="44">
        <f t="shared" si="1"/>
        <v>34.531999999999996</v>
      </c>
      <c r="C22" s="44">
        <v>35</v>
      </c>
      <c r="D22" s="33">
        <f t="shared" si="0"/>
        <v>0.46800000000000352</v>
      </c>
      <c r="E22" s="33" t="s">
        <v>58</v>
      </c>
      <c r="F22" s="46" t="s">
        <v>134</v>
      </c>
      <c r="G22" s="74"/>
    </row>
    <row r="23" spans="1:8" ht="23.25" customHeight="1" thickBot="1" x14ac:dyDescent="0.3">
      <c r="A23" s="148" t="s">
        <v>135</v>
      </c>
      <c r="B23" s="149"/>
      <c r="C23" s="150"/>
      <c r="D23" s="94">
        <f>SUM(D5:D22)</f>
        <v>35</v>
      </c>
      <c r="E23" s="93"/>
      <c r="F23" s="91"/>
      <c r="G23" s="92"/>
    </row>
    <row r="25" spans="1:8" ht="15.75" thickBot="1" x14ac:dyDescent="0.3"/>
    <row r="26" spans="1:8" ht="24" customHeight="1" thickBot="1" x14ac:dyDescent="0.3">
      <c r="A26" s="131" t="s">
        <v>141</v>
      </c>
      <c r="B26" s="132"/>
      <c r="C26" s="132"/>
      <c r="D26" s="132"/>
      <c r="E26" s="132"/>
      <c r="F26" s="132"/>
      <c r="G26" s="133"/>
    </row>
    <row r="27" spans="1:8" ht="18" customHeight="1" x14ac:dyDescent="0.25">
      <c r="A27" s="119" t="s">
        <v>1</v>
      </c>
      <c r="B27" s="120" t="s">
        <v>124</v>
      </c>
      <c r="C27" s="120"/>
      <c r="D27" s="120" t="s">
        <v>5</v>
      </c>
      <c r="E27" s="120" t="s">
        <v>9</v>
      </c>
      <c r="F27" s="120" t="s">
        <v>127</v>
      </c>
      <c r="G27" s="121" t="s">
        <v>24</v>
      </c>
    </row>
    <row r="28" spans="1:8" ht="18" customHeight="1" thickBot="1" x14ac:dyDescent="0.3">
      <c r="A28" s="134"/>
      <c r="B28" s="95" t="s">
        <v>125</v>
      </c>
      <c r="C28" s="95" t="s">
        <v>126</v>
      </c>
      <c r="D28" s="135"/>
      <c r="E28" s="135"/>
      <c r="F28" s="135"/>
      <c r="G28" s="136"/>
    </row>
    <row r="29" spans="1:8" s="7" customFormat="1" ht="45" x14ac:dyDescent="0.25">
      <c r="A29" s="138">
        <v>1</v>
      </c>
      <c r="B29" s="79">
        <v>0</v>
      </c>
      <c r="C29" s="79">
        <v>0.89</v>
      </c>
      <c r="D29" s="79">
        <f t="shared" ref="D29:D35" si="10">+C29-B29</f>
        <v>0.89</v>
      </c>
      <c r="E29" s="27" t="s">
        <v>143</v>
      </c>
      <c r="F29" s="25" t="s">
        <v>146</v>
      </c>
      <c r="G29" s="76" t="s">
        <v>149</v>
      </c>
    </row>
    <row r="30" spans="1:8" ht="36" customHeight="1" x14ac:dyDescent="0.25">
      <c r="A30" s="137"/>
      <c r="B30" s="36">
        <f>+C29</f>
        <v>0.89</v>
      </c>
      <c r="C30" s="36">
        <v>1.0129999999999999</v>
      </c>
      <c r="D30" s="36">
        <f t="shared" si="10"/>
        <v>0.12299999999999989</v>
      </c>
      <c r="E30" s="35" t="s">
        <v>144</v>
      </c>
      <c r="F30" s="11" t="s">
        <v>147</v>
      </c>
      <c r="G30" s="40" t="s">
        <v>149</v>
      </c>
    </row>
    <row r="31" spans="1:8" ht="45" x14ac:dyDescent="0.25">
      <c r="A31" s="41">
        <v>2</v>
      </c>
      <c r="B31" s="36">
        <v>0.27</v>
      </c>
      <c r="C31" s="36">
        <v>0.56499999999999995</v>
      </c>
      <c r="D31" s="36">
        <f t="shared" si="10"/>
        <v>0.29499999999999993</v>
      </c>
      <c r="E31" s="35" t="s">
        <v>143</v>
      </c>
      <c r="F31" s="11" t="s">
        <v>146</v>
      </c>
      <c r="G31" s="40" t="s">
        <v>149</v>
      </c>
    </row>
    <row r="32" spans="1:8" ht="37.5" customHeight="1" x14ac:dyDescent="0.25">
      <c r="A32" s="137">
        <v>3</v>
      </c>
      <c r="B32" s="36">
        <v>0</v>
      </c>
      <c r="C32" s="36">
        <v>0.43</v>
      </c>
      <c r="D32" s="36">
        <f t="shared" si="10"/>
        <v>0.43</v>
      </c>
      <c r="E32" s="35" t="s">
        <v>143</v>
      </c>
      <c r="F32" s="11" t="s">
        <v>146</v>
      </c>
      <c r="G32" s="40" t="s">
        <v>150</v>
      </c>
      <c r="H32" s="3"/>
    </row>
    <row r="33" spans="1:8" ht="30" x14ac:dyDescent="0.25">
      <c r="A33" s="137"/>
      <c r="B33" s="36">
        <f>+C32</f>
        <v>0.43</v>
      </c>
      <c r="C33" s="36">
        <v>0.70599999999999996</v>
      </c>
      <c r="D33" s="36">
        <f t="shared" si="10"/>
        <v>0.27599999999999997</v>
      </c>
      <c r="E33" s="35" t="s">
        <v>144</v>
      </c>
      <c r="F33" s="11" t="s">
        <v>147</v>
      </c>
      <c r="G33" s="40" t="s">
        <v>150</v>
      </c>
    </row>
    <row r="34" spans="1:8" ht="45" x14ac:dyDescent="0.25">
      <c r="A34" s="137">
        <v>4</v>
      </c>
      <c r="B34" s="36">
        <v>0</v>
      </c>
      <c r="C34" s="36">
        <v>0.3</v>
      </c>
      <c r="D34" s="36">
        <f t="shared" si="10"/>
        <v>0.3</v>
      </c>
      <c r="E34" s="35" t="s">
        <v>145</v>
      </c>
      <c r="F34" s="11" t="s">
        <v>148</v>
      </c>
      <c r="G34" s="40" t="s">
        <v>151</v>
      </c>
    </row>
    <row r="35" spans="1:8" ht="45.75" thickBot="1" x14ac:dyDescent="0.3">
      <c r="A35" s="147"/>
      <c r="B35" s="44">
        <v>0.3</v>
      </c>
      <c r="C35" s="44">
        <v>0.5</v>
      </c>
      <c r="D35" s="44">
        <f t="shared" si="10"/>
        <v>0.2</v>
      </c>
      <c r="E35" s="33" t="s">
        <v>143</v>
      </c>
      <c r="F35" s="46" t="s">
        <v>146</v>
      </c>
      <c r="G35" s="78" t="s">
        <v>151</v>
      </c>
    </row>
    <row r="36" spans="1:8" ht="15.75" thickBot="1" x14ac:dyDescent="0.3"/>
    <row r="37" spans="1:8" ht="24" customHeight="1" thickBot="1" x14ac:dyDescent="0.3">
      <c r="A37" s="131" t="s">
        <v>157</v>
      </c>
      <c r="B37" s="132"/>
      <c r="C37" s="132"/>
      <c r="D37" s="132"/>
      <c r="E37" s="132"/>
      <c r="F37" s="132"/>
      <c r="G37" s="133"/>
    </row>
    <row r="38" spans="1:8" ht="20.25" customHeight="1" x14ac:dyDescent="0.25">
      <c r="A38" s="119" t="s">
        <v>1</v>
      </c>
      <c r="B38" s="120" t="s">
        <v>124</v>
      </c>
      <c r="C38" s="120"/>
      <c r="D38" s="120" t="s">
        <v>5</v>
      </c>
      <c r="E38" s="120" t="s">
        <v>9</v>
      </c>
      <c r="F38" s="120" t="s">
        <v>127</v>
      </c>
      <c r="G38" s="121" t="s">
        <v>24</v>
      </c>
    </row>
    <row r="39" spans="1:8" ht="20.25" customHeight="1" thickBot="1" x14ac:dyDescent="0.3">
      <c r="A39" s="134"/>
      <c r="B39" s="95" t="s">
        <v>125</v>
      </c>
      <c r="C39" s="95" t="s">
        <v>126</v>
      </c>
      <c r="D39" s="135"/>
      <c r="E39" s="135"/>
      <c r="F39" s="135"/>
      <c r="G39" s="136"/>
    </row>
    <row r="40" spans="1:8" s="7" customFormat="1" ht="29.25" customHeight="1" x14ac:dyDescent="0.25">
      <c r="A40" s="143">
        <v>1</v>
      </c>
      <c r="B40" s="79">
        <v>0</v>
      </c>
      <c r="C40" s="79">
        <v>0.18</v>
      </c>
      <c r="D40" s="79">
        <f t="shared" ref="D40:D47" si="11">+C40-B40</f>
        <v>0.18</v>
      </c>
      <c r="E40" s="27" t="s">
        <v>144</v>
      </c>
      <c r="F40" s="25" t="s">
        <v>147</v>
      </c>
      <c r="G40" s="139" t="s">
        <v>103</v>
      </c>
    </row>
    <row r="41" spans="1:8" ht="29.25" customHeight="1" x14ac:dyDescent="0.25">
      <c r="A41" s="144"/>
      <c r="B41" s="36">
        <f>+C40</f>
        <v>0.18</v>
      </c>
      <c r="C41" s="36">
        <v>0.71</v>
      </c>
      <c r="D41" s="36">
        <f t="shared" si="11"/>
        <v>0.53</v>
      </c>
      <c r="E41" s="35" t="s">
        <v>143</v>
      </c>
      <c r="F41" s="11" t="s">
        <v>146</v>
      </c>
      <c r="G41" s="140"/>
    </row>
    <row r="42" spans="1:8" ht="29.25" customHeight="1" x14ac:dyDescent="0.25">
      <c r="A42" s="145">
        <v>2</v>
      </c>
      <c r="B42" s="36">
        <v>0</v>
      </c>
      <c r="C42" s="36">
        <v>0.19</v>
      </c>
      <c r="D42" s="36">
        <f t="shared" si="11"/>
        <v>0.19</v>
      </c>
      <c r="E42" s="35" t="s">
        <v>144</v>
      </c>
      <c r="F42" s="11" t="s">
        <v>152</v>
      </c>
      <c r="G42" s="141" t="s">
        <v>154</v>
      </c>
    </row>
    <row r="43" spans="1:8" ht="29.25" customHeight="1" x14ac:dyDescent="0.25">
      <c r="A43" s="144"/>
      <c r="B43" s="36">
        <f>+C42</f>
        <v>0.19</v>
      </c>
      <c r="C43" s="36">
        <v>0.71</v>
      </c>
      <c r="D43" s="36">
        <f t="shared" si="11"/>
        <v>0.52</v>
      </c>
      <c r="E43" s="35" t="s">
        <v>143</v>
      </c>
      <c r="F43" s="11" t="s">
        <v>146</v>
      </c>
      <c r="G43" s="140"/>
      <c r="H43" s="3"/>
    </row>
    <row r="44" spans="1:8" ht="29.25" customHeight="1" x14ac:dyDescent="0.25">
      <c r="A44" s="145">
        <v>3</v>
      </c>
      <c r="B44" s="36">
        <v>0</v>
      </c>
      <c r="C44" s="36">
        <v>0.25800000000000001</v>
      </c>
      <c r="D44" s="36">
        <f t="shared" si="11"/>
        <v>0.25800000000000001</v>
      </c>
      <c r="E44" s="35" t="s">
        <v>144</v>
      </c>
      <c r="F44" s="11" t="s">
        <v>147</v>
      </c>
      <c r="G44" s="141" t="s">
        <v>105</v>
      </c>
    </row>
    <row r="45" spans="1:8" ht="29.25" customHeight="1" x14ac:dyDescent="0.25">
      <c r="A45" s="144"/>
      <c r="B45" s="36">
        <f>+C44</f>
        <v>0.25800000000000001</v>
      </c>
      <c r="C45" s="36">
        <v>1.048</v>
      </c>
      <c r="D45" s="36">
        <f t="shared" si="11"/>
        <v>0.79</v>
      </c>
      <c r="E45" s="35" t="s">
        <v>143</v>
      </c>
      <c r="F45" s="11" t="s">
        <v>146</v>
      </c>
      <c r="G45" s="140"/>
    </row>
    <row r="46" spans="1:8" ht="29.25" customHeight="1" x14ac:dyDescent="0.25">
      <c r="A46" s="145">
        <v>4</v>
      </c>
      <c r="B46" s="36">
        <v>0</v>
      </c>
      <c r="C46" s="36">
        <v>0.1943</v>
      </c>
      <c r="D46" s="36">
        <f t="shared" si="11"/>
        <v>0.1943</v>
      </c>
      <c r="E46" s="35" t="s">
        <v>144</v>
      </c>
      <c r="F46" s="11" t="s">
        <v>153</v>
      </c>
      <c r="G46" s="141" t="s">
        <v>155</v>
      </c>
    </row>
    <row r="47" spans="1:8" ht="33" customHeight="1" thickBot="1" x14ac:dyDescent="0.3">
      <c r="A47" s="146"/>
      <c r="B47" s="44">
        <f>+C46</f>
        <v>0.1943</v>
      </c>
      <c r="C47" s="44">
        <v>0.85899999999999999</v>
      </c>
      <c r="D47" s="44">
        <f t="shared" si="11"/>
        <v>0.66469999999999996</v>
      </c>
      <c r="E47" s="33" t="s">
        <v>143</v>
      </c>
      <c r="F47" s="46" t="s">
        <v>146</v>
      </c>
      <c r="G47" s="142"/>
    </row>
    <row r="48" spans="1:8" ht="15.75" thickBot="1" x14ac:dyDescent="0.3"/>
    <row r="49" spans="1:8" ht="24" customHeight="1" thickBot="1" x14ac:dyDescent="0.3">
      <c r="A49" s="131" t="s">
        <v>156</v>
      </c>
      <c r="B49" s="132"/>
      <c r="C49" s="132"/>
      <c r="D49" s="132"/>
      <c r="E49" s="132"/>
      <c r="F49" s="132"/>
      <c r="G49" s="133"/>
    </row>
    <row r="50" spans="1:8" ht="20.25" customHeight="1" x14ac:dyDescent="0.25">
      <c r="A50" s="119" t="s">
        <v>1</v>
      </c>
      <c r="B50" s="120" t="s">
        <v>124</v>
      </c>
      <c r="C50" s="120"/>
      <c r="D50" s="120" t="s">
        <v>5</v>
      </c>
      <c r="E50" s="120" t="s">
        <v>9</v>
      </c>
      <c r="F50" s="120" t="s">
        <v>127</v>
      </c>
      <c r="G50" s="121" t="s">
        <v>24</v>
      </c>
    </row>
    <row r="51" spans="1:8" ht="20.25" customHeight="1" thickBot="1" x14ac:dyDescent="0.3">
      <c r="A51" s="134"/>
      <c r="B51" s="95" t="s">
        <v>125</v>
      </c>
      <c r="C51" s="95" t="s">
        <v>126</v>
      </c>
      <c r="D51" s="135"/>
      <c r="E51" s="135"/>
      <c r="F51" s="135"/>
      <c r="G51" s="136"/>
    </row>
    <row r="52" spans="1:8" s="7" customFormat="1" ht="29.25" customHeight="1" x14ac:dyDescent="0.25">
      <c r="A52" s="138">
        <v>1</v>
      </c>
      <c r="B52" s="79">
        <v>0.21</v>
      </c>
      <c r="C52" s="79">
        <v>0.40100000000000002</v>
      </c>
      <c r="D52" s="79">
        <f t="shared" ref="D52:D60" si="12">+C52-B52</f>
        <v>0.19100000000000003</v>
      </c>
      <c r="E52" s="27" t="s">
        <v>158</v>
      </c>
      <c r="F52" s="25" t="s">
        <v>147</v>
      </c>
      <c r="G52" s="97"/>
    </row>
    <row r="53" spans="1:8" ht="29.25" customHeight="1" x14ac:dyDescent="0.25">
      <c r="A53" s="137"/>
      <c r="B53" s="36">
        <f>+C52</f>
        <v>0.40100000000000002</v>
      </c>
      <c r="C53" s="36">
        <v>0.72099999999999997</v>
      </c>
      <c r="D53" s="36">
        <f t="shared" si="12"/>
        <v>0.31999999999999995</v>
      </c>
      <c r="E53" s="35" t="s">
        <v>159</v>
      </c>
      <c r="F53" s="11" t="s">
        <v>146</v>
      </c>
      <c r="G53" s="96"/>
    </row>
    <row r="54" spans="1:8" ht="29.25" customHeight="1" x14ac:dyDescent="0.25">
      <c r="A54" s="137">
        <v>2</v>
      </c>
      <c r="B54" s="36">
        <v>0.21</v>
      </c>
      <c r="C54" s="36">
        <v>0.39900000000000002</v>
      </c>
      <c r="D54" s="36">
        <f t="shared" si="12"/>
        <v>0.18900000000000003</v>
      </c>
      <c r="E54" s="35" t="s">
        <v>144</v>
      </c>
      <c r="F54" s="11" t="s">
        <v>147</v>
      </c>
      <c r="G54" s="96"/>
    </row>
    <row r="55" spans="1:8" ht="29.25" customHeight="1" x14ac:dyDescent="0.25">
      <c r="A55" s="137"/>
      <c r="B55" s="36">
        <f>+C54</f>
        <v>0.39900000000000002</v>
      </c>
      <c r="C55" s="36">
        <v>0.71899999999999997</v>
      </c>
      <c r="D55" s="36">
        <f t="shared" si="12"/>
        <v>0.31999999999999995</v>
      </c>
      <c r="E55" s="35" t="s">
        <v>159</v>
      </c>
      <c r="F55" s="11" t="s">
        <v>146</v>
      </c>
      <c r="G55" s="96"/>
      <c r="H55" s="3"/>
    </row>
    <row r="56" spans="1:8" ht="29.25" customHeight="1" x14ac:dyDescent="0.25">
      <c r="A56" s="137">
        <v>3</v>
      </c>
      <c r="B56" s="36">
        <v>0.21</v>
      </c>
      <c r="C56" s="36">
        <v>0.45800000000000002</v>
      </c>
      <c r="D56" s="36">
        <f t="shared" si="12"/>
        <v>0.24800000000000003</v>
      </c>
      <c r="E56" s="35" t="s">
        <v>144</v>
      </c>
      <c r="F56" s="11" t="s">
        <v>147</v>
      </c>
      <c r="G56" s="96"/>
    </row>
    <row r="57" spans="1:8" ht="29.25" customHeight="1" x14ac:dyDescent="0.25">
      <c r="A57" s="137"/>
      <c r="B57" s="36">
        <v>0.45800000000000002</v>
      </c>
      <c r="C57" s="36">
        <v>1.129</v>
      </c>
      <c r="D57" s="36">
        <f t="shared" si="12"/>
        <v>0.67100000000000004</v>
      </c>
      <c r="E57" s="35" t="s">
        <v>159</v>
      </c>
      <c r="F57" s="11" t="s">
        <v>146</v>
      </c>
      <c r="G57" s="96"/>
    </row>
    <row r="58" spans="1:8" ht="29.25" customHeight="1" x14ac:dyDescent="0.25">
      <c r="A58" s="137">
        <v>4</v>
      </c>
      <c r="B58" s="36">
        <v>0.21</v>
      </c>
      <c r="C58" s="36">
        <v>0.495</v>
      </c>
      <c r="D58" s="36">
        <f t="shared" si="12"/>
        <v>0.28500000000000003</v>
      </c>
      <c r="E58" s="35" t="s">
        <v>144</v>
      </c>
      <c r="F58" s="11" t="s">
        <v>161</v>
      </c>
      <c r="G58" s="96"/>
    </row>
    <row r="59" spans="1:8" ht="29.25" customHeight="1" x14ac:dyDescent="0.25">
      <c r="A59" s="137"/>
      <c r="B59" s="36">
        <v>0.495</v>
      </c>
      <c r="C59" s="36">
        <v>1.04</v>
      </c>
      <c r="D59" s="36">
        <f t="shared" si="12"/>
        <v>0.54500000000000004</v>
      </c>
      <c r="E59" s="35" t="s">
        <v>159</v>
      </c>
      <c r="F59" s="11" t="s">
        <v>146</v>
      </c>
      <c r="G59" s="96"/>
    </row>
    <row r="60" spans="1:8" ht="36" customHeight="1" thickBot="1" x14ac:dyDescent="0.3">
      <c r="A60" s="43">
        <v>5</v>
      </c>
      <c r="B60" s="44">
        <v>0</v>
      </c>
      <c r="C60" s="44">
        <v>0.21</v>
      </c>
      <c r="D60" s="44">
        <f t="shared" si="12"/>
        <v>0.21</v>
      </c>
      <c r="E60" s="33" t="s">
        <v>160</v>
      </c>
      <c r="F60" s="46" t="s">
        <v>162</v>
      </c>
      <c r="G60" s="98"/>
    </row>
    <row r="61" spans="1:8" ht="15.75" thickBot="1" x14ac:dyDescent="0.3"/>
    <row r="62" spans="1:8" ht="24" customHeight="1" thickBot="1" x14ac:dyDescent="0.3">
      <c r="A62" s="131" t="s">
        <v>163</v>
      </c>
      <c r="B62" s="132"/>
      <c r="C62" s="132"/>
      <c r="D62" s="132"/>
      <c r="E62" s="132"/>
      <c r="F62" s="132"/>
      <c r="G62" s="133"/>
    </row>
    <row r="63" spans="1:8" ht="20.25" customHeight="1" x14ac:dyDescent="0.25">
      <c r="A63" s="119" t="s">
        <v>1</v>
      </c>
      <c r="B63" s="120" t="s">
        <v>124</v>
      </c>
      <c r="C63" s="120"/>
      <c r="D63" s="120" t="s">
        <v>5</v>
      </c>
      <c r="E63" s="120" t="s">
        <v>9</v>
      </c>
      <c r="F63" s="120" t="s">
        <v>127</v>
      </c>
      <c r="G63" s="121" t="s">
        <v>24</v>
      </c>
    </row>
    <row r="64" spans="1:8" ht="20.25" customHeight="1" thickBot="1" x14ac:dyDescent="0.3">
      <c r="A64" s="134"/>
      <c r="B64" s="95" t="s">
        <v>125</v>
      </c>
      <c r="C64" s="95" t="s">
        <v>126</v>
      </c>
      <c r="D64" s="135"/>
      <c r="E64" s="135"/>
      <c r="F64" s="135"/>
      <c r="G64" s="136"/>
    </row>
    <row r="65" spans="1:8" s="7" customFormat="1" ht="33" customHeight="1" x14ac:dyDescent="0.25">
      <c r="A65" s="38">
        <v>1</v>
      </c>
      <c r="B65" s="79">
        <v>0</v>
      </c>
      <c r="C65" s="79">
        <v>0.43099999999999999</v>
      </c>
      <c r="D65" s="79">
        <f t="shared" ref="D65:D72" si="13">+C65-B65</f>
        <v>0.43099999999999999</v>
      </c>
      <c r="E65" s="27" t="s">
        <v>143</v>
      </c>
      <c r="F65" s="25" t="s">
        <v>146</v>
      </c>
      <c r="G65" s="76" t="s">
        <v>164</v>
      </c>
    </row>
    <row r="66" spans="1:8" ht="33" customHeight="1" x14ac:dyDescent="0.25">
      <c r="A66" s="41">
        <f>+A65+1</f>
        <v>2</v>
      </c>
      <c r="B66" s="36">
        <v>0</v>
      </c>
      <c r="C66" s="36">
        <v>0.43099999999999999</v>
      </c>
      <c r="D66" s="36">
        <f t="shared" si="13"/>
        <v>0.43099999999999999</v>
      </c>
      <c r="E66" s="35" t="s">
        <v>143</v>
      </c>
      <c r="F66" s="11" t="s">
        <v>146</v>
      </c>
      <c r="G66" s="40" t="s">
        <v>165</v>
      </c>
    </row>
    <row r="67" spans="1:8" ht="33" customHeight="1" x14ac:dyDescent="0.25">
      <c r="A67" s="41">
        <f t="shared" ref="A67:A72" si="14">+A66+1</f>
        <v>3</v>
      </c>
      <c r="B67" s="36">
        <v>0</v>
      </c>
      <c r="C67" s="36">
        <v>0.43099999999999999</v>
      </c>
      <c r="D67" s="36">
        <f t="shared" si="13"/>
        <v>0.43099999999999999</v>
      </c>
      <c r="E67" s="35" t="s">
        <v>143</v>
      </c>
      <c r="F67" s="11" t="s">
        <v>146</v>
      </c>
      <c r="G67" s="40" t="s">
        <v>166</v>
      </c>
    </row>
    <row r="68" spans="1:8" ht="33" customHeight="1" x14ac:dyDescent="0.25">
      <c r="A68" s="41">
        <f t="shared" si="14"/>
        <v>4</v>
      </c>
      <c r="B68" s="36">
        <v>0</v>
      </c>
      <c r="C68" s="36">
        <v>0.43099999999999999</v>
      </c>
      <c r="D68" s="36">
        <f t="shared" si="13"/>
        <v>0.43099999999999999</v>
      </c>
      <c r="E68" s="35" t="s">
        <v>143</v>
      </c>
      <c r="F68" s="11" t="s">
        <v>146</v>
      </c>
      <c r="G68" s="40" t="s">
        <v>167</v>
      </c>
      <c r="H68" s="3"/>
    </row>
    <row r="69" spans="1:8" ht="33" customHeight="1" x14ac:dyDescent="0.25">
      <c r="A69" s="41">
        <f t="shared" si="14"/>
        <v>5</v>
      </c>
      <c r="B69" s="36">
        <v>0</v>
      </c>
      <c r="C69" s="36">
        <v>0.65200000000000002</v>
      </c>
      <c r="D69" s="36">
        <f t="shared" si="13"/>
        <v>0.65200000000000002</v>
      </c>
      <c r="E69" s="35" t="s">
        <v>143</v>
      </c>
      <c r="F69" s="11" t="s">
        <v>146</v>
      </c>
      <c r="G69" s="40" t="s">
        <v>168</v>
      </c>
    </row>
    <row r="70" spans="1:8" ht="33" customHeight="1" x14ac:dyDescent="0.25">
      <c r="A70" s="41">
        <f t="shared" si="14"/>
        <v>6</v>
      </c>
      <c r="B70" s="36">
        <v>0</v>
      </c>
      <c r="C70" s="36">
        <v>0.59199999999999997</v>
      </c>
      <c r="D70" s="36">
        <f t="shared" si="13"/>
        <v>0.59199999999999997</v>
      </c>
      <c r="E70" s="35" t="s">
        <v>143</v>
      </c>
      <c r="F70" s="11" t="s">
        <v>146</v>
      </c>
      <c r="G70" s="40" t="s">
        <v>169</v>
      </c>
    </row>
    <row r="71" spans="1:8" ht="33" customHeight="1" x14ac:dyDescent="0.25">
      <c r="A71" s="41">
        <f t="shared" si="14"/>
        <v>7</v>
      </c>
      <c r="B71" s="36">
        <v>0</v>
      </c>
      <c r="C71" s="36">
        <v>0.64</v>
      </c>
      <c r="D71" s="36">
        <f t="shared" si="13"/>
        <v>0.64</v>
      </c>
      <c r="E71" s="35" t="s">
        <v>143</v>
      </c>
      <c r="F71" s="11" t="s">
        <v>146</v>
      </c>
      <c r="G71" s="40" t="s">
        <v>113</v>
      </c>
    </row>
    <row r="72" spans="1:8" ht="33" customHeight="1" thickBot="1" x14ac:dyDescent="0.3">
      <c r="A72" s="43">
        <f t="shared" si="14"/>
        <v>8</v>
      </c>
      <c r="B72" s="44">
        <v>0</v>
      </c>
      <c r="C72" s="44">
        <v>0.58099999999999996</v>
      </c>
      <c r="D72" s="44">
        <f t="shared" si="13"/>
        <v>0.58099999999999996</v>
      </c>
      <c r="E72" s="33" t="s">
        <v>143</v>
      </c>
      <c r="F72" s="46" t="s">
        <v>146</v>
      </c>
      <c r="G72" s="78" t="s">
        <v>165</v>
      </c>
    </row>
    <row r="73" spans="1:8" ht="15.75" thickBot="1" x14ac:dyDescent="0.3"/>
    <row r="74" spans="1:8" ht="24" customHeight="1" thickBot="1" x14ac:dyDescent="0.3">
      <c r="A74" s="131" t="s">
        <v>170</v>
      </c>
      <c r="B74" s="132"/>
      <c r="C74" s="132"/>
      <c r="D74" s="132"/>
      <c r="E74" s="132"/>
      <c r="F74" s="132"/>
      <c r="G74" s="133"/>
    </row>
    <row r="75" spans="1:8" ht="20.25" customHeight="1" x14ac:dyDescent="0.25">
      <c r="A75" s="119" t="s">
        <v>1</v>
      </c>
      <c r="B75" s="120" t="s">
        <v>124</v>
      </c>
      <c r="C75" s="120"/>
      <c r="D75" s="120" t="s">
        <v>5</v>
      </c>
      <c r="E75" s="120" t="s">
        <v>9</v>
      </c>
      <c r="F75" s="120" t="s">
        <v>127</v>
      </c>
      <c r="G75" s="121" t="s">
        <v>24</v>
      </c>
    </row>
    <row r="76" spans="1:8" ht="20.25" customHeight="1" thickBot="1" x14ac:dyDescent="0.3">
      <c r="A76" s="134"/>
      <c r="B76" s="95" t="s">
        <v>125</v>
      </c>
      <c r="C76" s="95" t="s">
        <v>126</v>
      </c>
      <c r="D76" s="135"/>
      <c r="E76" s="135"/>
      <c r="F76" s="135"/>
      <c r="G76" s="136"/>
    </row>
    <row r="77" spans="1:8" s="7" customFormat="1" ht="33" customHeight="1" x14ac:dyDescent="0.25">
      <c r="A77" s="38">
        <v>1</v>
      </c>
      <c r="B77" s="79">
        <v>34.950000000000003</v>
      </c>
      <c r="C77" s="79">
        <v>35.161999999999999</v>
      </c>
      <c r="D77" s="79">
        <f>+C77-B77</f>
        <v>0.21199999999999619</v>
      </c>
      <c r="E77" s="27" t="s">
        <v>145</v>
      </c>
      <c r="F77" s="25" t="s">
        <v>171</v>
      </c>
      <c r="G77" s="76" t="s">
        <v>172</v>
      </c>
    </row>
    <row r="78" spans="1:8" ht="36" customHeight="1" x14ac:dyDescent="0.25">
      <c r="A78" s="41">
        <f>+A77+1</f>
        <v>2</v>
      </c>
      <c r="B78" s="36">
        <v>3.5</v>
      </c>
      <c r="C78" s="36">
        <v>35.215000000000003</v>
      </c>
      <c r="D78" s="36">
        <f>+C78-B78</f>
        <v>31.715000000000003</v>
      </c>
      <c r="E78" s="35" t="s">
        <v>145</v>
      </c>
      <c r="F78" s="11" t="s">
        <v>171</v>
      </c>
      <c r="G78" s="40" t="s">
        <v>173</v>
      </c>
    </row>
    <row r="79" spans="1:8" ht="35.25" customHeight="1" x14ac:dyDescent="0.25">
      <c r="A79" s="41">
        <f>+A78+1</f>
        <v>3</v>
      </c>
      <c r="B79" s="36">
        <v>34.531999999999996</v>
      </c>
      <c r="C79" s="36">
        <v>34.661000000000001</v>
      </c>
      <c r="D79" s="36">
        <f>+C79-B79</f>
        <v>0.12900000000000489</v>
      </c>
      <c r="E79" s="35"/>
      <c r="F79" s="11"/>
      <c r="G79" s="40" t="s">
        <v>174</v>
      </c>
    </row>
    <row r="80" spans="1:8" ht="31.5" customHeight="1" thickBot="1" x14ac:dyDescent="0.3">
      <c r="A80" s="43">
        <f>+A79+1</f>
        <v>4</v>
      </c>
      <c r="B80" s="44">
        <v>34.531999999999996</v>
      </c>
      <c r="C80" s="44">
        <v>34.598999999999997</v>
      </c>
      <c r="D80" s="44">
        <f>+C80-B80</f>
        <v>6.7000000000000171E-2</v>
      </c>
      <c r="E80" s="33"/>
      <c r="F80" s="46"/>
      <c r="G80" s="78" t="s">
        <v>175</v>
      </c>
      <c r="H80" s="3"/>
    </row>
    <row r="82" spans="1:7" s="1" customFormat="1" ht="18.75" customHeight="1" x14ac:dyDescent="0.25">
      <c r="A82" s="130" t="s">
        <v>176</v>
      </c>
      <c r="B82" s="130"/>
      <c r="C82" s="130"/>
      <c r="D82" s="130"/>
      <c r="E82" s="130"/>
      <c r="F82" s="130"/>
      <c r="G82" s="130"/>
    </row>
    <row r="83" spans="1:7" s="1" customFormat="1" ht="18.75" customHeight="1" x14ac:dyDescent="0.25">
      <c r="A83" s="130" t="s">
        <v>177</v>
      </c>
      <c r="B83" s="130"/>
      <c r="C83" s="130"/>
      <c r="D83" s="130"/>
      <c r="E83" s="130"/>
      <c r="F83" s="130"/>
      <c r="G83" s="130"/>
    </row>
    <row r="84" spans="1:7" s="1" customFormat="1" ht="18.75" customHeight="1" x14ac:dyDescent="0.25">
      <c r="A84" s="130" t="s">
        <v>178</v>
      </c>
      <c r="B84" s="130"/>
      <c r="C84" s="130"/>
      <c r="D84" s="130"/>
      <c r="E84" s="130"/>
      <c r="F84" s="130"/>
      <c r="G84" s="130"/>
    </row>
    <row r="85" spans="1:7" s="1" customFormat="1" ht="35.25" customHeight="1" x14ac:dyDescent="0.25">
      <c r="A85" s="129" t="s">
        <v>179</v>
      </c>
      <c r="B85" s="129"/>
      <c r="C85" s="129"/>
      <c r="D85" s="129"/>
      <c r="E85" s="129"/>
      <c r="F85" s="129"/>
      <c r="G85" s="129"/>
    </row>
  </sheetData>
  <mergeCells count="63">
    <mergeCell ref="A23:C23"/>
    <mergeCell ref="A1:G1"/>
    <mergeCell ref="A2:G2"/>
    <mergeCell ref="A26:G26"/>
    <mergeCell ref="A27:A28"/>
    <mergeCell ref="B27:C27"/>
    <mergeCell ref="D27:D28"/>
    <mergeCell ref="E27:E28"/>
    <mergeCell ref="F27:F28"/>
    <mergeCell ref="G27:G28"/>
    <mergeCell ref="B3:C3"/>
    <mergeCell ref="A3:A4"/>
    <mergeCell ref="D3:D4"/>
    <mergeCell ref="E3:E4"/>
    <mergeCell ref="F3:F4"/>
    <mergeCell ref="G3:G4"/>
    <mergeCell ref="A44:A45"/>
    <mergeCell ref="A46:A47"/>
    <mergeCell ref="A29:A30"/>
    <mergeCell ref="A32:A33"/>
    <mergeCell ref="A34:A35"/>
    <mergeCell ref="A37:G37"/>
    <mergeCell ref="A38:A39"/>
    <mergeCell ref="B38:C38"/>
    <mergeCell ref="D38:D39"/>
    <mergeCell ref="E38:E39"/>
    <mergeCell ref="F38:F39"/>
    <mergeCell ref="G38:G39"/>
    <mergeCell ref="G50:G51"/>
    <mergeCell ref="A52:A53"/>
    <mergeCell ref="A54:A55"/>
    <mergeCell ref="A56:A57"/>
    <mergeCell ref="G40:G41"/>
    <mergeCell ref="G42:G43"/>
    <mergeCell ref="G44:G45"/>
    <mergeCell ref="G46:G47"/>
    <mergeCell ref="A49:G49"/>
    <mergeCell ref="A50:A51"/>
    <mergeCell ref="B50:C50"/>
    <mergeCell ref="D50:D51"/>
    <mergeCell ref="E50:E51"/>
    <mergeCell ref="F50:F51"/>
    <mergeCell ref="A40:A41"/>
    <mergeCell ref="A42:A43"/>
    <mergeCell ref="A58:A59"/>
    <mergeCell ref="A62:G62"/>
    <mergeCell ref="A63:A64"/>
    <mergeCell ref="B63:C63"/>
    <mergeCell ref="D63:D64"/>
    <mergeCell ref="E63:E64"/>
    <mergeCell ref="F63:F64"/>
    <mergeCell ref="G63:G64"/>
    <mergeCell ref="A85:G85"/>
    <mergeCell ref="A82:G82"/>
    <mergeCell ref="A83:G83"/>
    <mergeCell ref="A84:G84"/>
    <mergeCell ref="A74:G74"/>
    <mergeCell ref="A75:A76"/>
    <mergeCell ref="B75:C75"/>
    <mergeCell ref="D75:D76"/>
    <mergeCell ref="E75:E76"/>
    <mergeCell ref="F75:F76"/>
    <mergeCell ref="G75:G7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90647-E805-466E-B827-442E759EDCD5}">
  <dimension ref="A1:Q50"/>
  <sheetViews>
    <sheetView workbookViewId="0">
      <selection activeCell="H33" sqref="H33"/>
    </sheetView>
  </sheetViews>
  <sheetFormatPr defaultRowHeight="15" x14ac:dyDescent="0.25"/>
  <cols>
    <col min="1" max="1" width="9.140625" style="3"/>
    <col min="2" max="4" width="14.5703125" style="3" customWidth="1"/>
    <col min="5" max="5" width="24.42578125" style="3" customWidth="1"/>
    <col min="6" max="6" width="20.140625" style="3" customWidth="1"/>
    <col min="7" max="16384" width="9.140625" style="3"/>
  </cols>
  <sheetData>
    <row r="1" spans="1:17" ht="15.75" thickBot="1" x14ac:dyDescent="0.3"/>
    <row r="2" spans="1:17" ht="27" customHeight="1" thickBot="1" x14ac:dyDescent="0.3">
      <c r="A2" s="131" t="s">
        <v>0</v>
      </c>
      <c r="B2" s="132"/>
      <c r="C2" s="132"/>
      <c r="D2" s="132"/>
      <c r="E2" s="132"/>
      <c r="F2" s="133"/>
    </row>
    <row r="3" spans="1:17" s="10" customFormat="1" ht="21.75" customHeight="1" x14ac:dyDescent="0.25">
      <c r="A3" s="165" t="s">
        <v>1</v>
      </c>
      <c r="B3" s="166" t="s">
        <v>2</v>
      </c>
      <c r="C3" s="166"/>
      <c r="D3" s="166" t="s">
        <v>5</v>
      </c>
      <c r="E3" s="166" t="s">
        <v>6</v>
      </c>
      <c r="F3" s="167" t="s">
        <v>7</v>
      </c>
    </row>
    <row r="4" spans="1:17" s="10" customFormat="1" ht="21.75" customHeight="1" thickBot="1" x14ac:dyDescent="0.3">
      <c r="A4" s="160"/>
      <c r="B4" s="19" t="s">
        <v>3</v>
      </c>
      <c r="C4" s="19" t="s">
        <v>4</v>
      </c>
      <c r="D4" s="162"/>
      <c r="E4" s="162"/>
      <c r="F4" s="164"/>
    </row>
    <row r="5" spans="1:17" ht="15.75" customHeight="1" x14ac:dyDescent="0.25">
      <c r="A5" s="14">
        <v>1</v>
      </c>
      <c r="B5" s="15">
        <v>17.488</v>
      </c>
      <c r="C5" s="16">
        <v>17.87</v>
      </c>
      <c r="D5" s="17">
        <f>C5-B5</f>
        <v>0.38200000000000145</v>
      </c>
      <c r="E5" s="116" t="s">
        <v>8</v>
      </c>
      <c r="F5" s="18" t="s">
        <v>10</v>
      </c>
      <c r="I5" s="2"/>
      <c r="J5" s="2"/>
      <c r="K5" s="2"/>
      <c r="L5" s="2"/>
      <c r="M5" s="2"/>
      <c r="N5" s="2"/>
      <c r="O5" s="2"/>
      <c r="P5" s="2"/>
      <c r="Q5" s="2"/>
    </row>
    <row r="6" spans="1:17" ht="15.75" customHeight="1" x14ac:dyDescent="0.25">
      <c r="A6" s="11">
        <f>A5+1</f>
        <v>2</v>
      </c>
      <c r="B6" s="12">
        <f>C5</f>
        <v>17.87</v>
      </c>
      <c r="C6" s="12">
        <v>19.27</v>
      </c>
      <c r="D6" s="12">
        <f t="shared" ref="D6:D20" si="0">C6-B6</f>
        <v>1.3999999999999986</v>
      </c>
      <c r="E6" s="117"/>
      <c r="F6" s="13" t="s">
        <v>11</v>
      </c>
      <c r="I6" s="2"/>
      <c r="J6" s="2"/>
      <c r="K6" s="2"/>
      <c r="L6" s="2"/>
      <c r="M6" s="2"/>
      <c r="N6" s="2"/>
      <c r="O6" s="2"/>
      <c r="P6" s="2"/>
      <c r="Q6" s="2"/>
    </row>
    <row r="7" spans="1:17" ht="15.75" customHeight="1" x14ac:dyDescent="0.25">
      <c r="A7" s="11">
        <f t="shared" ref="A7:A20" si="1">A6+1</f>
        <v>3</v>
      </c>
      <c r="B7" s="12">
        <f t="shared" ref="B7:B20" si="2">C6</f>
        <v>19.27</v>
      </c>
      <c r="C7" s="12">
        <v>19.93</v>
      </c>
      <c r="D7" s="12">
        <f t="shared" si="0"/>
        <v>0.66000000000000014</v>
      </c>
      <c r="E7" s="117"/>
      <c r="F7" s="13" t="s">
        <v>10</v>
      </c>
      <c r="I7" s="2"/>
      <c r="J7" s="2"/>
      <c r="K7" s="2"/>
      <c r="L7" s="2"/>
      <c r="M7" s="2"/>
      <c r="N7" s="2"/>
      <c r="O7" s="2"/>
      <c r="P7" s="2"/>
      <c r="Q7" s="2"/>
    </row>
    <row r="8" spans="1:17" ht="15.75" customHeight="1" x14ac:dyDescent="0.25">
      <c r="A8" s="11">
        <f t="shared" si="1"/>
        <v>4</v>
      </c>
      <c r="B8" s="12">
        <f t="shared" si="2"/>
        <v>19.93</v>
      </c>
      <c r="C8" s="12">
        <v>21.36</v>
      </c>
      <c r="D8" s="12">
        <f t="shared" si="0"/>
        <v>1.4299999999999997</v>
      </c>
      <c r="E8" s="117"/>
      <c r="F8" s="13" t="s">
        <v>11</v>
      </c>
      <c r="I8" s="2"/>
      <c r="J8" s="2"/>
      <c r="K8" s="2"/>
      <c r="L8" s="2"/>
      <c r="M8" s="2"/>
      <c r="N8" s="2"/>
      <c r="O8" s="2"/>
      <c r="P8" s="2"/>
      <c r="Q8" s="2"/>
    </row>
    <row r="9" spans="1:17" ht="15.75" customHeight="1" x14ac:dyDescent="0.25">
      <c r="A9" s="11">
        <f t="shared" si="1"/>
        <v>5</v>
      </c>
      <c r="B9" s="12">
        <f t="shared" si="2"/>
        <v>21.36</v>
      </c>
      <c r="C9" s="12">
        <v>22.01</v>
      </c>
      <c r="D9" s="12">
        <f t="shared" si="0"/>
        <v>0.65000000000000213</v>
      </c>
      <c r="E9" s="117"/>
      <c r="F9" s="13" t="s">
        <v>10</v>
      </c>
      <c r="I9" s="2"/>
      <c r="J9" s="2"/>
      <c r="K9" s="2"/>
      <c r="L9" s="2"/>
      <c r="M9" s="2"/>
      <c r="N9" s="2"/>
      <c r="O9" s="2"/>
      <c r="P9" s="2"/>
      <c r="Q9" s="2"/>
    </row>
    <row r="10" spans="1:17" ht="15.75" customHeight="1" x14ac:dyDescent="0.25">
      <c r="A10" s="11">
        <f t="shared" si="1"/>
        <v>6</v>
      </c>
      <c r="B10" s="12">
        <f t="shared" si="2"/>
        <v>22.01</v>
      </c>
      <c r="C10" s="12">
        <v>23.45</v>
      </c>
      <c r="D10" s="12">
        <f t="shared" si="0"/>
        <v>1.4399999999999977</v>
      </c>
      <c r="E10" s="117"/>
      <c r="F10" s="13" t="s">
        <v>11</v>
      </c>
      <c r="I10" s="2"/>
      <c r="J10" s="2"/>
      <c r="K10" s="2"/>
      <c r="L10" s="2"/>
      <c r="M10" s="2"/>
      <c r="N10" s="2"/>
      <c r="O10" s="2"/>
      <c r="P10" s="2"/>
      <c r="Q10" s="2"/>
    </row>
    <row r="11" spans="1:17" ht="15.75" customHeight="1" x14ac:dyDescent="0.25">
      <c r="A11" s="11">
        <f t="shared" si="1"/>
        <v>7</v>
      </c>
      <c r="B11" s="12">
        <f t="shared" si="2"/>
        <v>23.45</v>
      </c>
      <c r="C11" s="12">
        <v>24.11</v>
      </c>
      <c r="D11" s="12">
        <f t="shared" si="0"/>
        <v>0.66000000000000014</v>
      </c>
      <c r="E11" s="117"/>
      <c r="F11" s="13" t="s">
        <v>12</v>
      </c>
      <c r="I11" s="2"/>
      <c r="J11" s="2"/>
      <c r="K11" s="2"/>
      <c r="L11" s="2"/>
      <c r="M11" s="2"/>
      <c r="N11" s="2"/>
      <c r="O11" s="2"/>
      <c r="P11" s="2"/>
      <c r="Q11" s="2"/>
    </row>
    <row r="12" spans="1:17" ht="15.75" customHeight="1" x14ac:dyDescent="0.25">
      <c r="A12" s="11">
        <f t="shared" si="1"/>
        <v>8</v>
      </c>
      <c r="B12" s="12">
        <f t="shared" si="2"/>
        <v>24.11</v>
      </c>
      <c r="C12" s="12">
        <v>24.72</v>
      </c>
      <c r="D12" s="12">
        <f t="shared" si="0"/>
        <v>0.60999999999999943</v>
      </c>
      <c r="E12" s="117"/>
      <c r="F12" s="13" t="s">
        <v>13</v>
      </c>
      <c r="I12" s="2"/>
      <c r="J12" s="2"/>
      <c r="K12" s="2"/>
      <c r="L12" s="2"/>
      <c r="M12" s="2"/>
      <c r="N12" s="2"/>
      <c r="O12" s="2"/>
      <c r="P12" s="2"/>
      <c r="Q12" s="2"/>
    </row>
    <row r="13" spans="1:17" ht="15.75" customHeight="1" x14ac:dyDescent="0.25">
      <c r="A13" s="11">
        <f t="shared" si="1"/>
        <v>9</v>
      </c>
      <c r="B13" s="12">
        <f t="shared" si="2"/>
        <v>24.72</v>
      </c>
      <c r="C13" s="12">
        <v>27.6</v>
      </c>
      <c r="D13" s="12">
        <f t="shared" si="0"/>
        <v>2.8800000000000026</v>
      </c>
      <c r="E13" s="117"/>
      <c r="F13" s="13" t="s">
        <v>12</v>
      </c>
      <c r="I13" s="2"/>
      <c r="J13" s="2"/>
      <c r="K13" s="2"/>
      <c r="L13" s="2"/>
      <c r="M13" s="2"/>
      <c r="N13" s="2"/>
      <c r="O13" s="2"/>
      <c r="P13" s="2"/>
      <c r="Q13" s="2"/>
    </row>
    <row r="14" spans="1:17" ht="15.75" customHeight="1" x14ac:dyDescent="0.25">
      <c r="A14" s="11">
        <f t="shared" si="1"/>
        <v>10</v>
      </c>
      <c r="B14" s="12">
        <f t="shared" si="2"/>
        <v>27.6</v>
      </c>
      <c r="C14" s="12">
        <v>28.12</v>
      </c>
      <c r="D14" s="12">
        <f t="shared" si="0"/>
        <v>0.51999999999999957</v>
      </c>
      <c r="E14" s="117"/>
      <c r="F14" s="13" t="s">
        <v>13</v>
      </c>
      <c r="I14" s="2"/>
      <c r="J14" s="2"/>
      <c r="K14" s="2"/>
      <c r="L14" s="2"/>
      <c r="M14" s="2"/>
      <c r="N14" s="2"/>
      <c r="O14" s="2"/>
      <c r="P14" s="2"/>
      <c r="Q14" s="2"/>
    </row>
    <row r="15" spans="1:17" ht="15.75" customHeight="1" x14ac:dyDescent="0.25">
      <c r="A15" s="11">
        <f t="shared" si="1"/>
        <v>11</v>
      </c>
      <c r="B15" s="12">
        <f t="shared" si="2"/>
        <v>28.12</v>
      </c>
      <c r="C15" s="12">
        <v>29.49</v>
      </c>
      <c r="D15" s="12">
        <f t="shared" si="0"/>
        <v>1.3699999999999974</v>
      </c>
      <c r="E15" s="117"/>
      <c r="F15" s="13" t="s">
        <v>12</v>
      </c>
      <c r="I15" s="2"/>
      <c r="J15" s="2"/>
      <c r="K15" s="2"/>
      <c r="L15" s="2"/>
      <c r="M15" s="2"/>
      <c r="N15" s="2"/>
      <c r="O15" s="2"/>
      <c r="P15" s="2"/>
      <c r="Q15" s="2"/>
    </row>
    <row r="16" spans="1:17" ht="15.75" customHeight="1" x14ac:dyDescent="0.25">
      <c r="A16" s="11">
        <f t="shared" si="1"/>
        <v>12</v>
      </c>
      <c r="B16" s="12">
        <f t="shared" si="2"/>
        <v>29.49</v>
      </c>
      <c r="C16" s="12">
        <v>30.06</v>
      </c>
      <c r="D16" s="12">
        <f t="shared" si="0"/>
        <v>0.57000000000000028</v>
      </c>
      <c r="E16" s="117"/>
      <c r="F16" s="13" t="s">
        <v>13</v>
      </c>
      <c r="I16" s="2"/>
      <c r="J16" s="2"/>
      <c r="K16" s="2"/>
      <c r="L16" s="2"/>
      <c r="M16" s="2"/>
      <c r="N16" s="2"/>
      <c r="O16" s="2"/>
      <c r="P16" s="2"/>
      <c r="Q16" s="2"/>
    </row>
    <row r="17" spans="1:17" ht="15.75" customHeight="1" x14ac:dyDescent="0.25">
      <c r="A17" s="11">
        <f t="shared" si="1"/>
        <v>13</v>
      </c>
      <c r="B17" s="12">
        <f t="shared" si="2"/>
        <v>30.06</v>
      </c>
      <c r="C17" s="12">
        <v>32.22</v>
      </c>
      <c r="D17" s="12">
        <f t="shared" si="0"/>
        <v>2.16</v>
      </c>
      <c r="E17" s="117"/>
      <c r="F17" s="13" t="s">
        <v>12</v>
      </c>
      <c r="I17" s="2"/>
      <c r="J17" s="2"/>
      <c r="K17" s="2"/>
      <c r="L17" s="2"/>
      <c r="M17" s="2"/>
      <c r="N17" s="2"/>
      <c r="O17" s="2"/>
      <c r="P17" s="2"/>
      <c r="Q17" s="2"/>
    </row>
    <row r="18" spans="1:17" ht="15.75" customHeight="1" x14ac:dyDescent="0.25">
      <c r="A18" s="11">
        <f t="shared" si="1"/>
        <v>14</v>
      </c>
      <c r="B18" s="12">
        <f t="shared" si="2"/>
        <v>32.22</v>
      </c>
      <c r="C18" s="12">
        <v>32.869999999999997</v>
      </c>
      <c r="D18" s="12">
        <f t="shared" si="0"/>
        <v>0.64999999999999858</v>
      </c>
      <c r="E18" s="117"/>
      <c r="F18" s="13" t="s">
        <v>13</v>
      </c>
      <c r="I18" s="2"/>
      <c r="J18" s="2"/>
      <c r="K18" s="2"/>
      <c r="L18" s="2"/>
      <c r="M18" s="2"/>
      <c r="N18" s="2"/>
      <c r="O18" s="2"/>
      <c r="P18" s="2"/>
      <c r="Q18" s="2"/>
    </row>
    <row r="19" spans="1:17" ht="15.75" customHeight="1" x14ac:dyDescent="0.25">
      <c r="A19" s="11">
        <f t="shared" si="1"/>
        <v>15</v>
      </c>
      <c r="B19" s="12">
        <f t="shared" si="2"/>
        <v>32.869999999999997</v>
      </c>
      <c r="C19" s="12">
        <v>34.01</v>
      </c>
      <c r="D19" s="12">
        <f t="shared" si="0"/>
        <v>1.1400000000000006</v>
      </c>
      <c r="E19" s="117"/>
      <c r="F19" s="13" t="s">
        <v>12</v>
      </c>
      <c r="I19" s="2"/>
      <c r="J19" s="2"/>
      <c r="K19" s="2"/>
      <c r="L19" s="2"/>
      <c r="M19" s="2"/>
      <c r="N19" s="2"/>
      <c r="O19" s="2"/>
      <c r="P19" s="2"/>
      <c r="Q19" s="2"/>
    </row>
    <row r="20" spans="1:17" ht="15.75" customHeight="1" x14ac:dyDescent="0.25">
      <c r="A20" s="11">
        <f t="shared" si="1"/>
        <v>16</v>
      </c>
      <c r="B20" s="12">
        <f t="shared" si="2"/>
        <v>34.01</v>
      </c>
      <c r="C20" s="11">
        <v>34.531999999999996</v>
      </c>
      <c r="D20" s="12">
        <f t="shared" si="0"/>
        <v>0.52199999999999847</v>
      </c>
      <c r="E20" s="117"/>
      <c r="F20" s="13" t="s">
        <v>13</v>
      </c>
      <c r="I20" s="2"/>
      <c r="J20" s="2"/>
      <c r="K20" s="2"/>
      <c r="L20" s="2"/>
      <c r="M20" s="2"/>
      <c r="N20" s="2"/>
      <c r="O20" s="2"/>
      <c r="P20" s="2"/>
      <c r="Q20" s="2"/>
    </row>
    <row r="21" spans="1:17" ht="35.25" customHeight="1" x14ac:dyDescent="0.25">
      <c r="A21" s="158" t="s">
        <v>14</v>
      </c>
      <c r="B21" s="158"/>
      <c r="C21" s="158"/>
      <c r="D21" s="158"/>
      <c r="E21" s="158"/>
      <c r="F21" s="158"/>
      <c r="I21" s="2"/>
      <c r="J21" s="2"/>
      <c r="K21" s="2"/>
      <c r="L21" s="2"/>
      <c r="M21" s="2"/>
      <c r="N21" s="2"/>
      <c r="O21" s="2"/>
      <c r="P21" s="2"/>
      <c r="Q21" s="2"/>
    </row>
    <row r="22" spans="1:17" x14ac:dyDescent="0.25">
      <c r="I22" s="2"/>
      <c r="J22" s="2"/>
      <c r="K22" s="2"/>
      <c r="L22" s="2"/>
      <c r="M22" s="2"/>
      <c r="N22" s="2"/>
      <c r="O22" s="2"/>
      <c r="P22" s="2"/>
      <c r="Q22" s="2"/>
    </row>
    <row r="23" spans="1:17" ht="96" customHeight="1" thickBot="1" x14ac:dyDescent="0.3">
      <c r="A23" s="158" t="s">
        <v>15</v>
      </c>
      <c r="B23" s="158"/>
      <c r="C23" s="158"/>
      <c r="D23" s="158"/>
      <c r="E23" s="158"/>
      <c r="F23" s="158"/>
      <c r="I23" s="2"/>
      <c r="J23" s="2"/>
      <c r="K23" s="2"/>
      <c r="L23" s="2"/>
      <c r="M23" s="2"/>
      <c r="N23" s="2"/>
      <c r="O23" s="2"/>
      <c r="P23" s="2"/>
      <c r="Q23" s="2"/>
    </row>
    <row r="24" spans="1:17" s="10" customFormat="1" ht="21.75" customHeight="1" x14ac:dyDescent="0.25">
      <c r="A24" s="159" t="s">
        <v>1</v>
      </c>
      <c r="B24" s="161" t="s">
        <v>2</v>
      </c>
      <c r="C24" s="161"/>
      <c r="D24" s="161" t="s">
        <v>5</v>
      </c>
      <c r="E24" s="161" t="s">
        <v>6</v>
      </c>
      <c r="F24" s="163" t="s">
        <v>7</v>
      </c>
    </row>
    <row r="25" spans="1:17" s="10" customFormat="1" ht="21.75" customHeight="1" thickBot="1" x14ac:dyDescent="0.3">
      <c r="A25" s="160"/>
      <c r="B25" s="19" t="s">
        <v>3</v>
      </c>
      <c r="C25" s="19" t="s">
        <v>4</v>
      </c>
      <c r="D25" s="162"/>
      <c r="E25" s="162"/>
      <c r="F25" s="164"/>
    </row>
    <row r="26" spans="1:17" ht="15.75" customHeight="1" x14ac:dyDescent="0.25">
      <c r="A26" s="24">
        <v>1</v>
      </c>
      <c r="B26" s="26">
        <v>17.488</v>
      </c>
      <c r="C26" s="26">
        <v>17.87</v>
      </c>
      <c r="D26" s="26">
        <f>C26-B26</f>
        <v>0.38200000000000145</v>
      </c>
      <c r="E26" s="155" t="s">
        <v>16</v>
      </c>
      <c r="F26" s="28" t="s">
        <v>10</v>
      </c>
      <c r="I26" s="2"/>
      <c r="J26" s="2"/>
      <c r="K26" s="2"/>
      <c r="L26" s="2"/>
      <c r="M26" s="2"/>
      <c r="N26" s="2"/>
      <c r="O26" s="2"/>
      <c r="P26" s="2"/>
      <c r="Q26" s="2"/>
    </row>
    <row r="27" spans="1:17" ht="15.75" customHeight="1" x14ac:dyDescent="0.25">
      <c r="A27" s="29">
        <f>A26+1</f>
        <v>2</v>
      </c>
      <c r="B27" s="12">
        <f>C26</f>
        <v>17.87</v>
      </c>
      <c r="C27" s="12">
        <v>19.27</v>
      </c>
      <c r="D27" s="12">
        <f t="shared" ref="D27:D41" si="3">C27-B27</f>
        <v>1.3999999999999986</v>
      </c>
      <c r="E27" s="156"/>
      <c r="F27" s="30" t="s">
        <v>11</v>
      </c>
      <c r="I27" s="2"/>
      <c r="J27" s="2"/>
      <c r="K27" s="2"/>
      <c r="L27" s="2"/>
      <c r="M27" s="2"/>
      <c r="N27" s="2"/>
      <c r="O27" s="2"/>
      <c r="P27" s="2"/>
      <c r="Q27" s="2"/>
    </row>
    <row r="28" spans="1:17" ht="15.75" customHeight="1" x14ac:dyDescent="0.25">
      <c r="A28" s="29">
        <f t="shared" ref="A28:A41" si="4">A27+1</f>
        <v>3</v>
      </c>
      <c r="B28" s="12">
        <f t="shared" ref="B28:B41" si="5">C27</f>
        <v>19.27</v>
      </c>
      <c r="C28" s="12">
        <v>19.93</v>
      </c>
      <c r="D28" s="12">
        <f t="shared" si="3"/>
        <v>0.66000000000000014</v>
      </c>
      <c r="E28" s="156"/>
      <c r="F28" s="30" t="s">
        <v>10</v>
      </c>
      <c r="I28" s="2"/>
      <c r="J28" s="2"/>
      <c r="K28" s="2"/>
      <c r="L28" s="2"/>
      <c r="M28" s="2"/>
      <c r="N28" s="2"/>
      <c r="O28" s="2"/>
      <c r="P28" s="2"/>
      <c r="Q28" s="2"/>
    </row>
    <row r="29" spans="1:17" ht="15.75" customHeight="1" x14ac:dyDescent="0.25">
      <c r="A29" s="29">
        <f t="shared" si="4"/>
        <v>4</v>
      </c>
      <c r="B29" s="12">
        <f t="shared" si="5"/>
        <v>19.93</v>
      </c>
      <c r="C29" s="12">
        <v>21.36</v>
      </c>
      <c r="D29" s="12">
        <f t="shared" si="3"/>
        <v>1.4299999999999997</v>
      </c>
      <c r="E29" s="156"/>
      <c r="F29" s="30" t="s">
        <v>11</v>
      </c>
      <c r="I29" s="2"/>
      <c r="J29" s="2"/>
      <c r="K29" s="2"/>
      <c r="L29" s="2"/>
      <c r="M29" s="2"/>
      <c r="N29" s="2"/>
      <c r="O29" s="2"/>
      <c r="P29" s="2"/>
      <c r="Q29" s="2"/>
    </row>
    <row r="30" spans="1:17" ht="15.75" customHeight="1" x14ac:dyDescent="0.25">
      <c r="A30" s="29">
        <f t="shared" si="4"/>
        <v>5</v>
      </c>
      <c r="B30" s="12">
        <f t="shared" si="5"/>
        <v>21.36</v>
      </c>
      <c r="C30" s="12">
        <v>22.01</v>
      </c>
      <c r="D30" s="12">
        <f t="shared" si="3"/>
        <v>0.65000000000000213</v>
      </c>
      <c r="E30" s="156"/>
      <c r="F30" s="30" t="s">
        <v>10</v>
      </c>
      <c r="I30" s="2"/>
      <c r="J30" s="2"/>
      <c r="K30" s="2"/>
      <c r="L30" s="2"/>
      <c r="M30" s="2"/>
      <c r="N30" s="2"/>
      <c r="O30" s="2"/>
      <c r="P30" s="2"/>
      <c r="Q30" s="2"/>
    </row>
    <row r="31" spans="1:17" ht="15.75" customHeight="1" x14ac:dyDescent="0.25">
      <c r="A31" s="29">
        <f t="shared" si="4"/>
        <v>6</v>
      </c>
      <c r="B31" s="12">
        <f t="shared" si="5"/>
        <v>22.01</v>
      </c>
      <c r="C31" s="12">
        <v>23.45</v>
      </c>
      <c r="D31" s="12">
        <f t="shared" si="3"/>
        <v>1.4399999999999977</v>
      </c>
      <c r="E31" s="156"/>
      <c r="F31" s="30" t="s">
        <v>11</v>
      </c>
      <c r="I31" s="2"/>
      <c r="J31" s="2"/>
      <c r="K31" s="2"/>
      <c r="L31" s="2"/>
      <c r="M31" s="2"/>
      <c r="N31" s="2"/>
      <c r="O31" s="2"/>
      <c r="P31" s="2"/>
      <c r="Q31" s="2"/>
    </row>
    <row r="32" spans="1:17" ht="15.75" customHeight="1" x14ac:dyDescent="0.25">
      <c r="A32" s="29">
        <f t="shared" si="4"/>
        <v>7</v>
      </c>
      <c r="B32" s="12">
        <f t="shared" si="5"/>
        <v>23.45</v>
      </c>
      <c r="C32" s="12">
        <v>24.11</v>
      </c>
      <c r="D32" s="12">
        <f t="shared" si="3"/>
        <v>0.66000000000000014</v>
      </c>
      <c r="E32" s="156"/>
      <c r="F32" s="30" t="s">
        <v>12</v>
      </c>
      <c r="I32" s="2"/>
      <c r="J32" s="2"/>
      <c r="K32" s="2"/>
      <c r="L32" s="2"/>
      <c r="M32" s="2"/>
      <c r="N32" s="2"/>
      <c r="O32" s="2"/>
      <c r="P32" s="2"/>
      <c r="Q32" s="2"/>
    </row>
    <row r="33" spans="1:17" ht="15.75" customHeight="1" x14ac:dyDescent="0.25">
      <c r="A33" s="29">
        <f t="shared" si="4"/>
        <v>8</v>
      </c>
      <c r="B33" s="12">
        <f t="shared" si="5"/>
        <v>24.11</v>
      </c>
      <c r="C33" s="12">
        <v>24.72</v>
      </c>
      <c r="D33" s="12">
        <f t="shared" si="3"/>
        <v>0.60999999999999943</v>
      </c>
      <c r="E33" s="156"/>
      <c r="F33" s="30" t="s">
        <v>13</v>
      </c>
      <c r="I33" s="2"/>
      <c r="J33" s="2"/>
      <c r="K33" s="2"/>
      <c r="L33" s="2"/>
      <c r="M33" s="2"/>
      <c r="N33" s="2"/>
      <c r="O33" s="2"/>
      <c r="P33" s="2"/>
      <c r="Q33" s="2"/>
    </row>
    <row r="34" spans="1:17" ht="15.75" customHeight="1" x14ac:dyDescent="0.25">
      <c r="A34" s="29">
        <f t="shared" si="4"/>
        <v>9</v>
      </c>
      <c r="B34" s="12">
        <f t="shared" si="5"/>
        <v>24.72</v>
      </c>
      <c r="C34" s="12">
        <v>27.6</v>
      </c>
      <c r="D34" s="12">
        <f t="shared" si="3"/>
        <v>2.8800000000000026</v>
      </c>
      <c r="E34" s="156"/>
      <c r="F34" s="30" t="s">
        <v>12</v>
      </c>
      <c r="I34" s="2"/>
      <c r="J34" s="2"/>
      <c r="K34" s="2"/>
      <c r="L34" s="2"/>
      <c r="M34" s="2"/>
      <c r="N34" s="2"/>
      <c r="O34" s="2"/>
      <c r="P34" s="2"/>
      <c r="Q34" s="2"/>
    </row>
    <row r="35" spans="1:17" ht="15.75" customHeight="1" x14ac:dyDescent="0.25">
      <c r="A35" s="29">
        <f t="shared" si="4"/>
        <v>10</v>
      </c>
      <c r="B35" s="12">
        <f t="shared" si="5"/>
        <v>27.6</v>
      </c>
      <c r="C35" s="12">
        <v>28.12</v>
      </c>
      <c r="D35" s="12">
        <f t="shared" si="3"/>
        <v>0.51999999999999957</v>
      </c>
      <c r="E35" s="156"/>
      <c r="F35" s="30" t="s">
        <v>13</v>
      </c>
      <c r="I35" s="2"/>
      <c r="J35" s="2"/>
      <c r="K35" s="2"/>
      <c r="L35" s="2"/>
      <c r="M35" s="2"/>
      <c r="N35" s="2"/>
      <c r="O35" s="2"/>
      <c r="P35" s="2"/>
      <c r="Q35" s="2"/>
    </row>
    <row r="36" spans="1:17" ht="15.75" customHeight="1" x14ac:dyDescent="0.25">
      <c r="A36" s="29">
        <f t="shared" si="4"/>
        <v>11</v>
      </c>
      <c r="B36" s="12">
        <f t="shared" si="5"/>
        <v>28.12</v>
      </c>
      <c r="C36" s="12">
        <v>29.49</v>
      </c>
      <c r="D36" s="12">
        <f t="shared" si="3"/>
        <v>1.3699999999999974</v>
      </c>
      <c r="E36" s="156"/>
      <c r="F36" s="30" t="s">
        <v>12</v>
      </c>
      <c r="I36" s="2"/>
      <c r="J36" s="2"/>
      <c r="K36" s="2"/>
      <c r="L36" s="2"/>
      <c r="M36" s="2"/>
      <c r="N36" s="2"/>
      <c r="O36" s="2"/>
      <c r="P36" s="2"/>
      <c r="Q36" s="2"/>
    </row>
    <row r="37" spans="1:17" ht="15.75" customHeight="1" x14ac:dyDescent="0.25">
      <c r="A37" s="29">
        <f t="shared" si="4"/>
        <v>12</v>
      </c>
      <c r="B37" s="12">
        <f t="shared" si="5"/>
        <v>29.49</v>
      </c>
      <c r="C37" s="12">
        <v>30.06</v>
      </c>
      <c r="D37" s="12">
        <f t="shared" si="3"/>
        <v>0.57000000000000028</v>
      </c>
      <c r="E37" s="156"/>
      <c r="F37" s="30" t="s">
        <v>13</v>
      </c>
      <c r="I37" s="2"/>
      <c r="J37" s="2"/>
      <c r="K37" s="2"/>
      <c r="L37" s="2"/>
      <c r="M37" s="2"/>
      <c r="N37" s="2"/>
      <c r="O37" s="2"/>
      <c r="P37" s="2"/>
      <c r="Q37" s="2"/>
    </row>
    <row r="38" spans="1:17" ht="15.75" customHeight="1" x14ac:dyDescent="0.25">
      <c r="A38" s="29">
        <f t="shared" si="4"/>
        <v>13</v>
      </c>
      <c r="B38" s="12">
        <f t="shared" si="5"/>
        <v>30.06</v>
      </c>
      <c r="C38" s="12">
        <v>32.22</v>
      </c>
      <c r="D38" s="12">
        <f t="shared" si="3"/>
        <v>2.16</v>
      </c>
      <c r="E38" s="156"/>
      <c r="F38" s="30" t="s">
        <v>12</v>
      </c>
      <c r="I38" s="2"/>
      <c r="J38" s="2"/>
      <c r="K38" s="2"/>
      <c r="L38" s="2"/>
      <c r="M38" s="2"/>
      <c r="N38" s="2"/>
      <c r="O38" s="2"/>
      <c r="P38" s="2"/>
      <c r="Q38" s="2"/>
    </row>
    <row r="39" spans="1:17" ht="15.75" customHeight="1" x14ac:dyDescent="0.25">
      <c r="A39" s="29">
        <f t="shared" si="4"/>
        <v>14</v>
      </c>
      <c r="B39" s="12">
        <f t="shared" si="5"/>
        <v>32.22</v>
      </c>
      <c r="C39" s="12">
        <v>32.869999999999997</v>
      </c>
      <c r="D39" s="12">
        <f t="shared" si="3"/>
        <v>0.64999999999999858</v>
      </c>
      <c r="E39" s="156"/>
      <c r="F39" s="30" t="s">
        <v>13</v>
      </c>
      <c r="I39" s="2"/>
      <c r="J39" s="2"/>
      <c r="K39" s="2"/>
      <c r="L39" s="2"/>
      <c r="M39" s="2"/>
      <c r="N39" s="2"/>
      <c r="O39" s="2"/>
      <c r="P39" s="2"/>
      <c r="Q39" s="2"/>
    </row>
    <row r="40" spans="1:17" ht="15.75" customHeight="1" x14ac:dyDescent="0.25">
      <c r="A40" s="29">
        <f t="shared" si="4"/>
        <v>15</v>
      </c>
      <c r="B40" s="12">
        <f t="shared" si="5"/>
        <v>32.869999999999997</v>
      </c>
      <c r="C40" s="12">
        <v>34.01</v>
      </c>
      <c r="D40" s="12">
        <f t="shared" si="3"/>
        <v>1.1400000000000006</v>
      </c>
      <c r="E40" s="156"/>
      <c r="F40" s="30" t="s">
        <v>12</v>
      </c>
      <c r="I40" s="2"/>
      <c r="J40" s="2"/>
      <c r="K40" s="2"/>
      <c r="L40" s="2"/>
      <c r="M40" s="2"/>
      <c r="N40" s="2"/>
      <c r="O40" s="2"/>
      <c r="P40" s="2"/>
      <c r="Q40" s="2"/>
    </row>
    <row r="41" spans="1:17" ht="15.75" customHeight="1" thickBot="1" x14ac:dyDescent="0.3">
      <c r="A41" s="31">
        <f t="shared" si="4"/>
        <v>16</v>
      </c>
      <c r="B41" s="32">
        <f t="shared" si="5"/>
        <v>34.01</v>
      </c>
      <c r="C41" s="32">
        <v>34.531999999999996</v>
      </c>
      <c r="D41" s="32">
        <f t="shared" si="3"/>
        <v>0.52199999999999847</v>
      </c>
      <c r="E41" s="157"/>
      <c r="F41" s="34" t="s">
        <v>13</v>
      </c>
      <c r="I41" s="2"/>
      <c r="J41" s="2"/>
      <c r="K41" s="2"/>
      <c r="L41" s="2"/>
      <c r="M41" s="2"/>
      <c r="N41" s="2"/>
      <c r="O41" s="2"/>
      <c r="P41" s="2"/>
      <c r="Q41" s="2"/>
    </row>
    <row r="42" spans="1:17" x14ac:dyDescent="0.25">
      <c r="B42" s="4"/>
      <c r="C42" s="5"/>
    </row>
    <row r="43" spans="1:17" x14ac:dyDescent="0.25">
      <c r="B43" s="4"/>
      <c r="C43" s="5"/>
    </row>
    <row r="44" spans="1:17" x14ac:dyDescent="0.25">
      <c r="B44" s="4"/>
      <c r="C44" s="5"/>
    </row>
    <row r="45" spans="1:17" x14ac:dyDescent="0.25">
      <c r="B45" s="4"/>
      <c r="C45" s="5"/>
    </row>
    <row r="46" spans="1:17" x14ac:dyDescent="0.25">
      <c r="B46" s="4"/>
      <c r="C46" s="5"/>
    </row>
    <row r="47" spans="1:17" x14ac:dyDescent="0.25">
      <c r="C47" s="5"/>
    </row>
    <row r="48" spans="1:17" x14ac:dyDescent="0.25">
      <c r="C48" s="5"/>
    </row>
    <row r="49" spans="3:3" x14ac:dyDescent="0.25">
      <c r="C49" s="5"/>
    </row>
    <row r="50" spans="3:3" x14ac:dyDescent="0.25">
      <c r="C50" s="5"/>
    </row>
  </sheetData>
  <mergeCells count="15">
    <mergeCell ref="A2:F2"/>
    <mergeCell ref="A3:A4"/>
    <mergeCell ref="B3:C3"/>
    <mergeCell ref="D3:D4"/>
    <mergeCell ref="E3:E4"/>
    <mergeCell ref="F3:F4"/>
    <mergeCell ref="E26:E41"/>
    <mergeCell ref="E5:E20"/>
    <mergeCell ref="A21:F21"/>
    <mergeCell ref="A23:F23"/>
    <mergeCell ref="A24:A25"/>
    <mergeCell ref="B24:C24"/>
    <mergeCell ref="D24:D25"/>
    <mergeCell ref="E24:E25"/>
    <mergeCell ref="F24:F25"/>
  </mergeCells>
  <pageMargins left="0.7" right="0.7" top="0.75" bottom="0.75" header="0.3" footer="0.3"/>
  <ignoredErrors>
    <ignoredError sqref="F26 F27:F41 F7:F20 F5:F6"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749FA-0B29-4807-9580-6AEFE6271904}">
  <dimension ref="A1:K22"/>
  <sheetViews>
    <sheetView workbookViewId="0">
      <selection activeCell="H18" sqref="H18"/>
    </sheetView>
  </sheetViews>
  <sheetFormatPr defaultRowHeight="15" x14ac:dyDescent="0.25"/>
  <cols>
    <col min="1" max="1" width="6.140625" bestFit="1" customWidth="1"/>
    <col min="2" max="2" width="14.28515625" customWidth="1"/>
    <col min="3" max="3" width="13" customWidth="1"/>
    <col min="4" max="4" width="13.5703125" customWidth="1"/>
    <col min="5" max="5" width="16.140625" customWidth="1"/>
    <col min="6" max="6" width="15.5703125" customWidth="1"/>
    <col min="7" max="7" width="16.85546875" customWidth="1"/>
    <col min="8" max="8" width="25" customWidth="1"/>
    <col min="9" max="9" width="12.7109375" customWidth="1"/>
    <col min="10" max="10" width="13.5703125" customWidth="1"/>
    <col min="11" max="11" width="16.5703125" customWidth="1"/>
  </cols>
  <sheetData>
    <row r="1" spans="1:11" ht="15.75" thickBot="1" x14ac:dyDescent="0.3"/>
    <row r="2" spans="1:11" ht="18.75" customHeight="1" x14ac:dyDescent="0.25">
      <c r="A2" s="138" t="s">
        <v>17</v>
      </c>
      <c r="B2" s="170"/>
      <c r="C2" s="170"/>
      <c r="D2" s="170"/>
      <c r="E2" s="170"/>
      <c r="F2" s="170"/>
      <c r="G2" s="170"/>
      <c r="H2" s="170"/>
      <c r="I2" s="170"/>
      <c r="J2" s="171"/>
    </row>
    <row r="3" spans="1:11" ht="60" customHeight="1" x14ac:dyDescent="0.25">
      <c r="A3" s="168" t="s">
        <v>34</v>
      </c>
      <c r="B3" s="117"/>
      <c r="C3" s="117"/>
      <c r="D3" s="117"/>
      <c r="E3" s="117"/>
      <c r="F3" s="117"/>
      <c r="G3" s="117"/>
      <c r="H3" s="117"/>
      <c r="I3" s="117"/>
      <c r="J3" s="169"/>
    </row>
    <row r="4" spans="1:11" ht="21.75" customHeight="1" thickBot="1" x14ac:dyDescent="0.3">
      <c r="A4" s="147" t="s">
        <v>18</v>
      </c>
      <c r="B4" s="172"/>
      <c r="C4" s="172"/>
      <c r="D4" s="172"/>
      <c r="E4" s="172"/>
      <c r="F4" s="172"/>
      <c r="G4" s="172"/>
      <c r="H4" s="172"/>
      <c r="I4" s="172"/>
      <c r="J4" s="173"/>
    </row>
    <row r="5" spans="1:11" s="4" customFormat="1" ht="45.75" customHeight="1" thickBot="1" x14ac:dyDescent="0.3">
      <c r="A5" s="20" t="s">
        <v>1</v>
      </c>
      <c r="B5" s="21" t="s">
        <v>19</v>
      </c>
      <c r="C5" s="21" t="s">
        <v>61</v>
      </c>
      <c r="D5" s="21" t="s">
        <v>62</v>
      </c>
      <c r="E5" s="21" t="s">
        <v>65</v>
      </c>
      <c r="F5" s="21" t="s">
        <v>20</v>
      </c>
      <c r="G5" s="21" t="s">
        <v>21</v>
      </c>
      <c r="H5" s="21" t="s">
        <v>22</v>
      </c>
      <c r="I5" s="21" t="s">
        <v>23</v>
      </c>
      <c r="J5" s="22" t="s">
        <v>24</v>
      </c>
      <c r="K5" s="9" t="s">
        <v>66</v>
      </c>
    </row>
    <row r="6" spans="1:11" x14ac:dyDescent="0.25">
      <c r="A6" s="48">
        <v>1</v>
      </c>
      <c r="B6" s="49">
        <v>4.41</v>
      </c>
      <c r="C6" s="50">
        <v>10.5</v>
      </c>
      <c r="D6" s="50">
        <v>10.5</v>
      </c>
      <c r="E6" s="49" t="s">
        <v>64</v>
      </c>
      <c r="F6" s="23" t="s">
        <v>25</v>
      </c>
      <c r="G6" s="50">
        <v>5.5</v>
      </c>
      <c r="H6" s="23" t="s">
        <v>28</v>
      </c>
      <c r="I6" s="116" t="s">
        <v>30</v>
      </c>
      <c r="J6" s="51" t="s">
        <v>31</v>
      </c>
    </row>
    <row r="7" spans="1:11" x14ac:dyDescent="0.25">
      <c r="A7" s="41">
        <f>A6+1</f>
        <v>2</v>
      </c>
      <c r="B7" s="36">
        <v>7.52</v>
      </c>
      <c r="C7" s="50">
        <v>10.5</v>
      </c>
      <c r="D7" s="50">
        <v>10.5</v>
      </c>
      <c r="E7" s="36" t="s">
        <v>64</v>
      </c>
      <c r="F7" s="35" t="s">
        <v>25</v>
      </c>
      <c r="G7" s="37">
        <v>5.5</v>
      </c>
      <c r="H7" s="35" t="s">
        <v>28</v>
      </c>
      <c r="I7" s="117"/>
      <c r="J7" s="42" t="s">
        <v>31</v>
      </c>
    </row>
    <row r="8" spans="1:11" x14ac:dyDescent="0.25">
      <c r="A8" s="41">
        <f t="shared" ref="A8:A15" si="0">A7+1</f>
        <v>3</v>
      </c>
      <c r="B8" s="36">
        <v>19.63</v>
      </c>
      <c r="C8" s="50">
        <v>13.5</v>
      </c>
      <c r="D8" s="50">
        <v>13.5</v>
      </c>
      <c r="E8" s="36" t="s">
        <v>64</v>
      </c>
      <c r="F8" s="35" t="s">
        <v>26</v>
      </c>
      <c r="G8" s="37">
        <v>5.5</v>
      </c>
      <c r="H8" s="35" t="s">
        <v>29</v>
      </c>
      <c r="I8" s="117"/>
      <c r="J8" s="42" t="s">
        <v>32</v>
      </c>
    </row>
    <row r="9" spans="1:11" x14ac:dyDescent="0.25">
      <c r="A9" s="41">
        <f t="shared" si="0"/>
        <v>4</v>
      </c>
      <c r="B9" s="36">
        <v>21.69</v>
      </c>
      <c r="C9" s="50">
        <v>13.5</v>
      </c>
      <c r="D9" s="50">
        <v>13.5</v>
      </c>
      <c r="E9" s="36" t="s">
        <v>64</v>
      </c>
      <c r="F9" s="35" t="s">
        <v>26</v>
      </c>
      <c r="G9" s="37">
        <v>5.5</v>
      </c>
      <c r="H9" s="35" t="s">
        <v>29</v>
      </c>
      <c r="I9" s="117"/>
      <c r="J9" s="42" t="s">
        <v>32</v>
      </c>
      <c r="K9" s="7" t="s">
        <v>67</v>
      </c>
    </row>
    <row r="10" spans="1:11" x14ac:dyDescent="0.25">
      <c r="A10" s="41">
        <f t="shared" si="0"/>
        <v>5</v>
      </c>
      <c r="B10" s="36">
        <v>24.425000000000001</v>
      </c>
      <c r="C10" s="50">
        <v>13.5</v>
      </c>
      <c r="D10" s="50">
        <v>13.5</v>
      </c>
      <c r="E10" s="36" t="s">
        <v>64</v>
      </c>
      <c r="F10" s="35" t="s">
        <v>26</v>
      </c>
      <c r="G10" s="37">
        <v>5.5</v>
      </c>
      <c r="H10" s="35" t="s">
        <v>29</v>
      </c>
      <c r="I10" s="117"/>
      <c r="J10" s="42" t="s">
        <v>32</v>
      </c>
      <c r="K10" s="61" t="s">
        <v>68</v>
      </c>
    </row>
    <row r="11" spans="1:11" x14ac:dyDescent="0.25">
      <c r="A11" s="41">
        <f t="shared" si="0"/>
        <v>6</v>
      </c>
      <c r="B11" s="36">
        <v>27.85</v>
      </c>
      <c r="C11" s="50">
        <v>13.5</v>
      </c>
      <c r="D11" s="50">
        <v>13.5</v>
      </c>
      <c r="E11" s="36" t="s">
        <v>64</v>
      </c>
      <c r="F11" s="35" t="s">
        <v>26</v>
      </c>
      <c r="G11" s="37">
        <v>5.5</v>
      </c>
      <c r="H11" s="35" t="s">
        <v>29</v>
      </c>
      <c r="I11" s="117"/>
      <c r="J11" s="42" t="s">
        <v>32</v>
      </c>
    </row>
    <row r="12" spans="1:11" x14ac:dyDescent="0.25">
      <c r="A12" s="41">
        <f t="shared" si="0"/>
        <v>7</v>
      </c>
      <c r="B12" s="36">
        <v>29.78</v>
      </c>
      <c r="C12" s="50">
        <v>13.5</v>
      </c>
      <c r="D12" s="50">
        <v>13.5</v>
      </c>
      <c r="E12" s="36" t="s">
        <v>64</v>
      </c>
      <c r="F12" s="35" t="s">
        <v>26</v>
      </c>
      <c r="G12" s="37">
        <v>5.5</v>
      </c>
      <c r="H12" s="35" t="s">
        <v>29</v>
      </c>
      <c r="I12" s="117"/>
      <c r="J12" s="42" t="s">
        <v>32</v>
      </c>
    </row>
    <row r="13" spans="1:11" x14ac:dyDescent="0.25">
      <c r="A13" s="41">
        <f t="shared" si="0"/>
        <v>8</v>
      </c>
      <c r="B13" s="36">
        <v>32.56</v>
      </c>
      <c r="C13" s="50">
        <v>13.5</v>
      </c>
      <c r="D13" s="50">
        <v>13.5</v>
      </c>
      <c r="E13" s="36" t="s">
        <v>64</v>
      </c>
      <c r="F13" s="35" t="s">
        <v>26</v>
      </c>
      <c r="G13" s="37">
        <v>5.5</v>
      </c>
      <c r="H13" s="35" t="s">
        <v>29</v>
      </c>
      <c r="I13" s="117"/>
      <c r="J13" s="42" t="s">
        <v>32</v>
      </c>
      <c r="K13" s="61" t="s">
        <v>69</v>
      </c>
    </row>
    <row r="14" spans="1:11" x14ac:dyDescent="0.25">
      <c r="A14" s="41">
        <f t="shared" si="0"/>
        <v>9</v>
      </c>
      <c r="B14" s="36">
        <v>34.22</v>
      </c>
      <c r="C14" s="50">
        <v>13.5</v>
      </c>
      <c r="D14" s="50">
        <v>13.5</v>
      </c>
      <c r="E14" s="36" t="s">
        <v>64</v>
      </c>
      <c r="F14" s="35" t="s">
        <v>26</v>
      </c>
      <c r="G14" s="37">
        <v>5.5</v>
      </c>
      <c r="H14" s="35" t="s">
        <v>29</v>
      </c>
      <c r="I14" s="117"/>
      <c r="J14" s="42" t="s">
        <v>32</v>
      </c>
      <c r="K14" s="61" t="s">
        <v>70</v>
      </c>
    </row>
    <row r="15" spans="1:11" ht="15.75" thickBot="1" x14ac:dyDescent="0.3">
      <c r="A15" s="43">
        <f t="shared" si="0"/>
        <v>10</v>
      </c>
      <c r="B15" s="44">
        <v>34.531999999999996</v>
      </c>
      <c r="C15" s="45">
        <v>13.5</v>
      </c>
      <c r="D15" s="45">
        <v>13.5</v>
      </c>
      <c r="E15" s="44" t="s">
        <v>64</v>
      </c>
      <c r="F15" s="33" t="s">
        <v>27</v>
      </c>
      <c r="G15" s="45">
        <v>5.5</v>
      </c>
      <c r="H15" s="33" t="s">
        <v>28</v>
      </c>
      <c r="I15" s="118"/>
      <c r="J15" s="47" t="s">
        <v>31</v>
      </c>
      <c r="K15" s="61" t="s">
        <v>71</v>
      </c>
    </row>
    <row r="16" spans="1:11" x14ac:dyDescent="0.25">
      <c r="A16" s="7"/>
      <c r="B16" s="8"/>
      <c r="C16" s="8"/>
      <c r="D16" s="8"/>
      <c r="E16" s="8"/>
    </row>
    <row r="17" spans="1:5" x14ac:dyDescent="0.25">
      <c r="A17" s="7"/>
      <c r="B17" s="8"/>
      <c r="C17" s="8"/>
      <c r="D17" s="8"/>
      <c r="E17" s="8"/>
    </row>
    <row r="18" spans="1:5" x14ac:dyDescent="0.25">
      <c r="A18" s="7"/>
      <c r="B18" s="8"/>
      <c r="C18" s="8"/>
      <c r="D18" s="8"/>
      <c r="E18" s="8"/>
    </row>
    <row r="19" spans="1:5" x14ac:dyDescent="0.25">
      <c r="A19" s="7"/>
      <c r="B19" s="8"/>
      <c r="C19" s="8"/>
      <c r="D19" s="8"/>
      <c r="E19" s="8"/>
    </row>
    <row r="20" spans="1:5" x14ac:dyDescent="0.25">
      <c r="A20" s="7"/>
      <c r="B20" s="8"/>
      <c r="C20" s="8"/>
      <c r="D20" s="8"/>
      <c r="E20" s="8"/>
    </row>
    <row r="21" spans="1:5" x14ac:dyDescent="0.25">
      <c r="B21" s="8"/>
      <c r="C21" s="8"/>
      <c r="D21" s="8"/>
      <c r="E21" s="8"/>
    </row>
    <row r="22" spans="1:5" x14ac:dyDescent="0.25">
      <c r="B22" s="8"/>
      <c r="C22" s="8"/>
      <c r="D22" s="8"/>
      <c r="E22" s="8"/>
    </row>
  </sheetData>
  <mergeCells count="4">
    <mergeCell ref="A3:J3"/>
    <mergeCell ref="A2:J2"/>
    <mergeCell ref="A4:J4"/>
    <mergeCell ref="I6:I15"/>
  </mergeCells>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D4092-92E0-40F8-B5E1-C4AF26F47B4D}">
  <dimension ref="A1:J13"/>
  <sheetViews>
    <sheetView workbookViewId="0">
      <selection activeCell="D26" sqref="D26"/>
    </sheetView>
  </sheetViews>
  <sheetFormatPr defaultRowHeight="15" x14ac:dyDescent="0.25"/>
  <cols>
    <col min="1" max="1" width="6.140625" bestFit="1" customWidth="1"/>
    <col min="2" max="5" width="17" customWidth="1"/>
    <col min="6" max="6" width="15.5703125" customWidth="1"/>
    <col min="7" max="7" width="16.85546875" customWidth="1"/>
    <col min="8" max="8" width="29.28515625" customWidth="1"/>
    <col min="9" max="9" width="12.7109375" customWidth="1"/>
    <col min="10" max="10" width="13.5703125" customWidth="1"/>
  </cols>
  <sheetData>
    <row r="1" spans="1:10" ht="15.75" thickBot="1" x14ac:dyDescent="0.3"/>
    <row r="2" spans="1:10" ht="18.75" customHeight="1" x14ac:dyDescent="0.25">
      <c r="A2" s="138" t="s">
        <v>33</v>
      </c>
      <c r="B2" s="170"/>
      <c r="C2" s="170"/>
      <c r="D2" s="170"/>
      <c r="E2" s="170"/>
      <c r="F2" s="170"/>
      <c r="G2" s="170"/>
      <c r="H2" s="170"/>
      <c r="I2" s="170"/>
      <c r="J2" s="171"/>
    </row>
    <row r="3" spans="1:10" ht="23.25" customHeight="1" x14ac:dyDescent="0.25">
      <c r="A3" s="168" t="s">
        <v>35</v>
      </c>
      <c r="B3" s="117"/>
      <c r="C3" s="117"/>
      <c r="D3" s="117"/>
      <c r="E3" s="117"/>
      <c r="F3" s="117"/>
      <c r="G3" s="117"/>
      <c r="H3" s="117"/>
      <c r="I3" s="117"/>
      <c r="J3" s="169"/>
    </row>
    <row r="4" spans="1:10" ht="21.75" customHeight="1" thickBot="1" x14ac:dyDescent="0.3">
      <c r="A4" s="147" t="s">
        <v>36</v>
      </c>
      <c r="B4" s="172"/>
      <c r="C4" s="172"/>
      <c r="D4" s="172"/>
      <c r="E4" s="172"/>
      <c r="F4" s="172"/>
      <c r="G4" s="172"/>
      <c r="H4" s="172"/>
      <c r="I4" s="172"/>
      <c r="J4" s="173"/>
    </row>
    <row r="5" spans="1:10" s="4" customFormat="1" ht="45.75" customHeight="1" thickBot="1" x14ac:dyDescent="0.3">
      <c r="A5" s="20" t="s">
        <v>1</v>
      </c>
      <c r="B5" s="21" t="s">
        <v>19</v>
      </c>
      <c r="C5" s="21" t="s">
        <v>61</v>
      </c>
      <c r="D5" s="21" t="s">
        <v>62</v>
      </c>
      <c r="E5" s="21" t="s">
        <v>63</v>
      </c>
      <c r="F5" s="21" t="s">
        <v>20</v>
      </c>
      <c r="G5" s="21" t="s">
        <v>21</v>
      </c>
      <c r="H5" s="21" t="s">
        <v>22</v>
      </c>
      <c r="I5" s="21" t="s">
        <v>23</v>
      </c>
      <c r="J5" s="22" t="s">
        <v>24</v>
      </c>
    </row>
    <row r="6" spans="1:10" ht="28.5" customHeight="1" thickBot="1" x14ac:dyDescent="0.3">
      <c r="A6" s="52">
        <v>1</v>
      </c>
      <c r="B6" s="53">
        <v>10.92</v>
      </c>
      <c r="C6" s="55">
        <v>10.5</v>
      </c>
      <c r="D6" s="55">
        <v>10.5</v>
      </c>
      <c r="E6" s="53" t="s">
        <v>64</v>
      </c>
      <c r="F6" s="54" t="s">
        <v>37</v>
      </c>
      <c r="G6" s="55">
        <v>5.5</v>
      </c>
      <c r="H6" s="54" t="s">
        <v>38</v>
      </c>
      <c r="I6" s="56" t="s">
        <v>30</v>
      </c>
      <c r="J6" s="57" t="s">
        <v>39</v>
      </c>
    </row>
    <row r="7" spans="1:10" x14ac:dyDescent="0.25">
      <c r="A7" s="7"/>
      <c r="B7" s="8"/>
      <c r="C7" s="8"/>
      <c r="D7" s="8"/>
      <c r="E7" s="8"/>
    </row>
    <row r="8" spans="1:10" x14ac:dyDescent="0.25">
      <c r="A8" s="7"/>
      <c r="B8" s="8"/>
      <c r="C8" s="8"/>
      <c r="D8" s="8"/>
      <c r="E8" s="8"/>
    </row>
    <row r="9" spans="1:10" x14ac:dyDescent="0.25">
      <c r="A9" s="7"/>
      <c r="B9" s="8"/>
      <c r="C9" s="8"/>
      <c r="D9" s="8"/>
      <c r="E9" s="8"/>
    </row>
    <row r="10" spans="1:10" x14ac:dyDescent="0.25">
      <c r="A10" s="7"/>
      <c r="B10" s="8"/>
      <c r="C10" s="8"/>
      <c r="D10" s="8"/>
      <c r="E10" s="8"/>
    </row>
    <row r="11" spans="1:10" x14ac:dyDescent="0.25">
      <c r="A11" s="7"/>
      <c r="B11" s="8"/>
      <c r="C11" s="8"/>
      <c r="D11" s="8"/>
      <c r="E11" s="8"/>
    </row>
    <row r="12" spans="1:10" x14ac:dyDescent="0.25">
      <c r="B12" s="8"/>
      <c r="C12" s="8"/>
      <c r="D12" s="8"/>
      <c r="E12" s="8"/>
    </row>
    <row r="13" spans="1:10" x14ac:dyDescent="0.25">
      <c r="B13" s="8"/>
      <c r="C13" s="8"/>
      <c r="D13" s="8"/>
      <c r="E13" s="8"/>
    </row>
  </sheetData>
  <mergeCells count="3">
    <mergeCell ref="A3:J3"/>
    <mergeCell ref="A4:J4"/>
    <mergeCell ref="A2:J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1B08A-495D-4720-9DDB-B71C1103CE15}">
  <dimension ref="B2:I31"/>
  <sheetViews>
    <sheetView workbookViewId="0">
      <selection activeCell="P22" sqref="P22"/>
    </sheetView>
  </sheetViews>
  <sheetFormatPr defaultRowHeight="15" x14ac:dyDescent="0.25"/>
  <cols>
    <col min="3" max="4" width="12" customWidth="1"/>
    <col min="5" max="6" width="11" customWidth="1"/>
    <col min="7" max="7" width="21.85546875" style="3" customWidth="1"/>
    <col min="8" max="8" width="14.7109375" style="3" customWidth="1"/>
    <col min="9" max="9" width="15.28515625" style="3" customWidth="1"/>
  </cols>
  <sheetData>
    <row r="2" spans="2:9" s="7" customFormat="1" ht="21" customHeight="1" x14ac:dyDescent="0.25">
      <c r="B2" s="128" t="s">
        <v>40</v>
      </c>
      <c r="C2" s="128"/>
      <c r="D2" s="128"/>
      <c r="E2" s="128"/>
      <c r="F2" s="128"/>
      <c r="G2" s="128"/>
      <c r="H2" s="128"/>
      <c r="I2" s="128"/>
    </row>
    <row r="3" spans="2:9" s="7" customFormat="1" ht="21" customHeight="1" x14ac:dyDescent="0.25">
      <c r="B3" s="128" t="s">
        <v>41</v>
      </c>
      <c r="C3" s="128"/>
      <c r="D3" s="128"/>
      <c r="E3" s="128"/>
      <c r="F3" s="128"/>
      <c r="G3" s="128"/>
      <c r="H3" s="128"/>
      <c r="I3" s="128"/>
    </row>
    <row r="4" spans="2:9" s="7" customFormat="1" ht="21" customHeight="1" x14ac:dyDescent="0.25">
      <c r="B4" s="128" t="s">
        <v>42</v>
      </c>
      <c r="C4" s="128"/>
      <c r="D4" s="128"/>
      <c r="E4" s="128"/>
      <c r="F4" s="128"/>
      <c r="G4" s="128"/>
      <c r="H4" s="128"/>
      <c r="I4" s="128"/>
    </row>
    <row r="5" spans="2:9" s="7" customFormat="1" ht="21" customHeight="1" x14ac:dyDescent="0.25">
      <c r="B5" s="175" t="s">
        <v>43</v>
      </c>
      <c r="C5" s="175"/>
      <c r="D5" s="175"/>
      <c r="E5" s="175"/>
      <c r="F5" s="175"/>
      <c r="G5" s="175"/>
      <c r="H5" s="175"/>
      <c r="I5" s="175"/>
    </row>
    <row r="6" spans="2:9" ht="24.75" customHeight="1" x14ac:dyDescent="0.25">
      <c r="B6" s="175" t="s">
        <v>1</v>
      </c>
      <c r="C6" s="175" t="s">
        <v>2</v>
      </c>
      <c r="D6" s="175"/>
      <c r="E6" s="175" t="s">
        <v>44</v>
      </c>
      <c r="F6" s="175"/>
      <c r="G6" s="174" t="s">
        <v>47</v>
      </c>
      <c r="H6" s="174" t="s">
        <v>48</v>
      </c>
      <c r="I6" s="174" t="s">
        <v>24</v>
      </c>
    </row>
    <row r="7" spans="2:9" ht="24.75" customHeight="1" x14ac:dyDescent="0.25">
      <c r="B7" s="175"/>
      <c r="C7" s="58" t="s">
        <v>3</v>
      </c>
      <c r="D7" s="58" t="s">
        <v>4</v>
      </c>
      <c r="E7" s="58" t="s">
        <v>45</v>
      </c>
      <c r="F7" s="58" t="s">
        <v>46</v>
      </c>
      <c r="G7" s="174"/>
      <c r="H7" s="174"/>
      <c r="I7" s="174"/>
    </row>
    <row r="8" spans="2:9" x14ac:dyDescent="0.25">
      <c r="B8" s="7">
        <v>1</v>
      </c>
      <c r="C8" s="8">
        <v>17.488</v>
      </c>
      <c r="D8" s="8">
        <v>17.87</v>
      </c>
      <c r="E8" s="8">
        <f t="shared" ref="E8:E15" si="0">D8-C8</f>
        <v>0.38200000000000145</v>
      </c>
      <c r="F8" s="8">
        <f t="shared" ref="F8:F15" si="1">E8</f>
        <v>0.38200000000000145</v>
      </c>
      <c r="G8" s="4" t="s">
        <v>51</v>
      </c>
      <c r="H8" s="6">
        <f>E8+F8</f>
        <v>0.7640000000000029</v>
      </c>
      <c r="I8" s="4" t="s">
        <v>49</v>
      </c>
    </row>
    <row r="9" spans="2:9" x14ac:dyDescent="0.25">
      <c r="B9" s="7">
        <f>B8+1</f>
        <v>2</v>
      </c>
      <c r="C9" s="8">
        <v>19.27</v>
      </c>
      <c r="D9" s="8">
        <v>19.93</v>
      </c>
      <c r="E9" s="8">
        <f t="shared" si="0"/>
        <v>0.66000000000000014</v>
      </c>
      <c r="F9" s="8">
        <f t="shared" si="1"/>
        <v>0.66000000000000014</v>
      </c>
      <c r="G9" s="4" t="s">
        <v>51</v>
      </c>
      <c r="H9" s="6">
        <f t="shared" ref="H9:H15" si="2">E9+F9</f>
        <v>1.3200000000000003</v>
      </c>
      <c r="I9" s="4" t="s">
        <v>49</v>
      </c>
    </row>
    <row r="10" spans="2:9" x14ac:dyDescent="0.25">
      <c r="B10" s="7">
        <f t="shared" ref="B10:B15" si="3">B9+1</f>
        <v>3</v>
      </c>
      <c r="C10" s="8">
        <v>21.36</v>
      </c>
      <c r="D10" s="8">
        <v>22.01</v>
      </c>
      <c r="E10" s="8">
        <f t="shared" si="0"/>
        <v>0.65000000000000213</v>
      </c>
      <c r="F10" s="8">
        <f t="shared" si="1"/>
        <v>0.65000000000000213</v>
      </c>
      <c r="G10" s="4" t="s">
        <v>51</v>
      </c>
      <c r="H10" s="6">
        <f t="shared" si="2"/>
        <v>1.3000000000000043</v>
      </c>
      <c r="I10" s="4" t="s">
        <v>49</v>
      </c>
    </row>
    <row r="11" spans="2:9" x14ac:dyDescent="0.25">
      <c r="B11" s="7">
        <f t="shared" si="3"/>
        <v>4</v>
      </c>
      <c r="C11" s="8">
        <v>24.11</v>
      </c>
      <c r="D11" s="8">
        <v>24.72</v>
      </c>
      <c r="E11" s="8">
        <f t="shared" si="0"/>
        <v>0.60999999999999943</v>
      </c>
      <c r="F11" s="8">
        <f t="shared" si="1"/>
        <v>0.60999999999999943</v>
      </c>
      <c r="G11" s="4" t="s">
        <v>52</v>
      </c>
      <c r="H11" s="6">
        <f t="shared" si="2"/>
        <v>1.2199999999999989</v>
      </c>
      <c r="I11" s="4" t="s">
        <v>50</v>
      </c>
    </row>
    <row r="12" spans="2:9" x14ac:dyDescent="0.25">
      <c r="B12" s="7">
        <f t="shared" si="3"/>
        <v>5</v>
      </c>
      <c r="C12" s="8">
        <v>27.6</v>
      </c>
      <c r="D12" s="8">
        <v>28.12</v>
      </c>
      <c r="E12" s="8">
        <f t="shared" si="0"/>
        <v>0.51999999999999957</v>
      </c>
      <c r="F12" s="8">
        <f t="shared" si="1"/>
        <v>0.51999999999999957</v>
      </c>
      <c r="G12" s="4" t="s">
        <v>52</v>
      </c>
      <c r="H12" s="6">
        <f t="shared" si="2"/>
        <v>1.0399999999999991</v>
      </c>
      <c r="I12" s="4" t="s">
        <v>50</v>
      </c>
    </row>
    <row r="13" spans="2:9" x14ac:dyDescent="0.25">
      <c r="B13" s="7">
        <f t="shared" si="3"/>
        <v>6</v>
      </c>
      <c r="C13" s="8">
        <v>29.49</v>
      </c>
      <c r="D13" s="8">
        <v>30.06</v>
      </c>
      <c r="E13" s="8">
        <f t="shared" si="0"/>
        <v>0.57000000000000028</v>
      </c>
      <c r="F13" s="8">
        <f t="shared" si="1"/>
        <v>0.57000000000000028</v>
      </c>
      <c r="G13" s="4" t="s">
        <v>52</v>
      </c>
      <c r="H13" s="6">
        <f t="shared" si="2"/>
        <v>1.1400000000000006</v>
      </c>
      <c r="I13" s="4" t="s">
        <v>50</v>
      </c>
    </row>
    <row r="14" spans="2:9" x14ac:dyDescent="0.25">
      <c r="B14" s="7">
        <f t="shared" si="3"/>
        <v>7</v>
      </c>
      <c r="C14" s="8">
        <v>32.22</v>
      </c>
      <c r="D14" s="8">
        <v>32.869999999999997</v>
      </c>
      <c r="E14" s="8">
        <f t="shared" si="0"/>
        <v>0.64999999999999858</v>
      </c>
      <c r="F14" s="8">
        <f t="shared" si="1"/>
        <v>0.64999999999999858</v>
      </c>
      <c r="G14" s="4" t="s">
        <v>52</v>
      </c>
      <c r="H14" s="6">
        <f t="shared" si="2"/>
        <v>1.2999999999999972</v>
      </c>
      <c r="I14" s="4" t="s">
        <v>50</v>
      </c>
    </row>
    <row r="15" spans="2:9" x14ac:dyDescent="0.25">
      <c r="B15" s="7">
        <f t="shared" si="3"/>
        <v>8</v>
      </c>
      <c r="C15" s="8">
        <v>34.01</v>
      </c>
      <c r="D15" s="8">
        <v>34.531999999999996</v>
      </c>
      <c r="E15" s="8">
        <f t="shared" si="0"/>
        <v>0.52199999999999847</v>
      </c>
      <c r="F15" s="8">
        <f t="shared" si="1"/>
        <v>0.52199999999999847</v>
      </c>
      <c r="G15" s="4" t="s">
        <v>52</v>
      </c>
      <c r="H15" s="6">
        <f t="shared" si="2"/>
        <v>1.0439999999999969</v>
      </c>
      <c r="I15" s="4" t="s">
        <v>50</v>
      </c>
    </row>
    <row r="16" spans="2:9" x14ac:dyDescent="0.25">
      <c r="B16" s="7"/>
      <c r="C16" s="8"/>
      <c r="D16" s="8"/>
      <c r="H16" s="60">
        <f>SUM(H8:H15)</f>
        <v>9.1280000000000001</v>
      </c>
    </row>
    <row r="17" spans="2:9" x14ac:dyDescent="0.25">
      <c r="B17" s="7"/>
      <c r="C17" s="8"/>
      <c r="D17" s="8"/>
      <c r="H17" s="6"/>
    </row>
    <row r="18" spans="2:9" s="7" customFormat="1" ht="21" customHeight="1" x14ac:dyDescent="0.25">
      <c r="B18" s="175" t="s">
        <v>53</v>
      </c>
      <c r="C18" s="175"/>
      <c r="D18" s="175"/>
      <c r="E18" s="175"/>
      <c r="F18" s="175"/>
      <c r="G18" s="175"/>
      <c r="H18" s="175"/>
      <c r="I18" s="175"/>
    </row>
    <row r="19" spans="2:9" ht="24.75" customHeight="1" x14ac:dyDescent="0.25">
      <c r="B19" s="175" t="s">
        <v>1</v>
      </c>
      <c r="C19" s="175" t="s">
        <v>2</v>
      </c>
      <c r="D19" s="175"/>
      <c r="E19" s="175" t="s">
        <v>44</v>
      </c>
      <c r="F19" s="175"/>
      <c r="G19" s="174" t="s">
        <v>47</v>
      </c>
      <c r="H19" s="174" t="s">
        <v>48</v>
      </c>
      <c r="I19" s="174" t="s">
        <v>24</v>
      </c>
    </row>
    <row r="20" spans="2:9" ht="24.75" customHeight="1" x14ac:dyDescent="0.25">
      <c r="B20" s="175"/>
      <c r="C20" s="58" t="s">
        <v>3</v>
      </c>
      <c r="D20" s="58" t="s">
        <v>4</v>
      </c>
      <c r="E20" s="58" t="s">
        <v>45</v>
      </c>
      <c r="F20" s="58" t="s">
        <v>46</v>
      </c>
      <c r="G20" s="174"/>
      <c r="H20" s="174"/>
      <c r="I20" s="174"/>
    </row>
    <row r="21" spans="2:9" x14ac:dyDescent="0.25">
      <c r="B21" s="7">
        <v>1</v>
      </c>
      <c r="C21" s="8">
        <v>17.87</v>
      </c>
      <c r="D21" s="8">
        <v>19.27</v>
      </c>
      <c r="E21" s="8">
        <f>D21-C21</f>
        <v>1.3999999999999986</v>
      </c>
      <c r="F21" s="8">
        <f t="shared" ref="F21:F28" si="4">E21</f>
        <v>1.3999999999999986</v>
      </c>
      <c r="G21" s="4" t="s">
        <v>54</v>
      </c>
      <c r="H21" s="6">
        <f>F21+E21</f>
        <v>2.7999999999999972</v>
      </c>
      <c r="I21" s="4" t="s">
        <v>56</v>
      </c>
    </row>
    <row r="22" spans="2:9" x14ac:dyDescent="0.25">
      <c r="B22" s="7">
        <f>B21+1</f>
        <v>2</v>
      </c>
      <c r="C22" s="8">
        <v>19.93</v>
      </c>
      <c r="D22" s="8">
        <v>21.36</v>
      </c>
      <c r="E22" s="8">
        <f t="shared" ref="E22:E28" si="5">D22-C22</f>
        <v>1.4299999999999997</v>
      </c>
      <c r="F22" s="8">
        <f t="shared" si="4"/>
        <v>1.4299999999999997</v>
      </c>
      <c r="G22" s="4" t="s">
        <v>54</v>
      </c>
      <c r="H22" s="6">
        <f t="shared" ref="H22:H28" si="6">F22+E22</f>
        <v>2.8599999999999994</v>
      </c>
      <c r="I22" s="4" t="s">
        <v>56</v>
      </c>
    </row>
    <row r="23" spans="2:9" x14ac:dyDescent="0.25">
      <c r="B23" s="7">
        <f t="shared" ref="B23:B28" si="7">B22+1</f>
        <v>3</v>
      </c>
      <c r="C23" s="8">
        <v>22.01</v>
      </c>
      <c r="D23" s="8">
        <v>23.45</v>
      </c>
      <c r="E23" s="8">
        <f t="shared" si="5"/>
        <v>1.4399999999999977</v>
      </c>
      <c r="F23" s="8">
        <f t="shared" si="4"/>
        <v>1.4399999999999977</v>
      </c>
      <c r="G23" s="4" t="s">
        <v>54</v>
      </c>
      <c r="H23" s="6">
        <f t="shared" si="6"/>
        <v>2.8799999999999955</v>
      </c>
      <c r="I23" s="4" t="s">
        <v>56</v>
      </c>
    </row>
    <row r="24" spans="2:9" x14ac:dyDescent="0.25">
      <c r="B24" s="7">
        <f t="shared" si="7"/>
        <v>4</v>
      </c>
      <c r="C24" s="8">
        <v>23.45</v>
      </c>
      <c r="D24" s="8">
        <v>24.11</v>
      </c>
      <c r="E24" s="8">
        <f t="shared" si="5"/>
        <v>0.66000000000000014</v>
      </c>
      <c r="F24" s="8">
        <f t="shared" si="4"/>
        <v>0.66000000000000014</v>
      </c>
      <c r="G24" s="4" t="s">
        <v>55</v>
      </c>
      <c r="H24" s="6">
        <f t="shared" si="6"/>
        <v>1.3200000000000003</v>
      </c>
      <c r="I24" s="4" t="s">
        <v>57</v>
      </c>
    </row>
    <row r="25" spans="2:9" x14ac:dyDescent="0.25">
      <c r="B25" s="7">
        <f t="shared" si="7"/>
        <v>5</v>
      </c>
      <c r="C25" s="8">
        <v>24.72</v>
      </c>
      <c r="D25" s="8">
        <v>27.6</v>
      </c>
      <c r="E25" s="8">
        <f t="shared" si="5"/>
        <v>2.8800000000000026</v>
      </c>
      <c r="F25" s="8">
        <f t="shared" si="4"/>
        <v>2.8800000000000026</v>
      </c>
      <c r="G25" s="4" t="s">
        <v>55</v>
      </c>
      <c r="H25" s="6">
        <f t="shared" si="6"/>
        <v>5.7600000000000051</v>
      </c>
      <c r="I25" s="4" t="s">
        <v>57</v>
      </c>
    </row>
    <row r="26" spans="2:9" x14ac:dyDescent="0.25">
      <c r="B26" s="7">
        <f t="shared" si="7"/>
        <v>6</v>
      </c>
      <c r="C26" s="8">
        <v>28.12</v>
      </c>
      <c r="D26" s="8">
        <v>29.49</v>
      </c>
      <c r="E26" s="8">
        <f t="shared" si="5"/>
        <v>1.3699999999999974</v>
      </c>
      <c r="F26" s="8">
        <f t="shared" si="4"/>
        <v>1.3699999999999974</v>
      </c>
      <c r="G26" s="4" t="s">
        <v>55</v>
      </c>
      <c r="H26" s="6">
        <f t="shared" si="6"/>
        <v>2.7399999999999949</v>
      </c>
      <c r="I26" s="4" t="s">
        <v>57</v>
      </c>
    </row>
    <row r="27" spans="2:9" x14ac:dyDescent="0.25">
      <c r="B27" s="7">
        <f t="shared" si="7"/>
        <v>7</v>
      </c>
      <c r="C27" s="8">
        <v>30.06</v>
      </c>
      <c r="D27" s="8">
        <v>32.22</v>
      </c>
      <c r="E27" s="8">
        <f t="shared" si="5"/>
        <v>2.16</v>
      </c>
      <c r="F27" s="8">
        <f t="shared" si="4"/>
        <v>2.16</v>
      </c>
      <c r="G27" s="4" t="s">
        <v>55</v>
      </c>
      <c r="H27" s="6">
        <f t="shared" si="6"/>
        <v>4.32</v>
      </c>
      <c r="I27" s="4" t="s">
        <v>57</v>
      </c>
    </row>
    <row r="28" spans="2:9" x14ac:dyDescent="0.25">
      <c r="B28" s="7">
        <f t="shared" si="7"/>
        <v>8</v>
      </c>
      <c r="C28" s="8">
        <v>32.869999999999997</v>
      </c>
      <c r="D28" s="8">
        <v>34.01</v>
      </c>
      <c r="E28" s="8">
        <f t="shared" si="5"/>
        <v>1.1400000000000006</v>
      </c>
      <c r="F28" s="8">
        <f t="shared" si="4"/>
        <v>1.1400000000000006</v>
      </c>
      <c r="G28" s="4" t="s">
        <v>55</v>
      </c>
      <c r="H28" s="6">
        <f t="shared" si="6"/>
        <v>2.2800000000000011</v>
      </c>
      <c r="I28" s="4" t="s">
        <v>57</v>
      </c>
    </row>
    <row r="30" spans="2:9" x14ac:dyDescent="0.25">
      <c r="B30" t="s">
        <v>59</v>
      </c>
      <c r="G30"/>
      <c r="H30"/>
      <c r="I30"/>
    </row>
    <row r="31" spans="2:9" x14ac:dyDescent="0.25">
      <c r="B31" t="s">
        <v>60</v>
      </c>
    </row>
  </sheetData>
  <mergeCells count="17">
    <mergeCell ref="B5:I5"/>
    <mergeCell ref="B4:I4"/>
    <mergeCell ref="B3:I3"/>
    <mergeCell ref="B2:I2"/>
    <mergeCell ref="B18:I18"/>
    <mergeCell ref="B6:B7"/>
    <mergeCell ref="C6:D6"/>
    <mergeCell ref="E6:F6"/>
    <mergeCell ref="G6:G7"/>
    <mergeCell ref="H6:H7"/>
    <mergeCell ref="I6:I7"/>
    <mergeCell ref="I19:I20"/>
    <mergeCell ref="B19:B20"/>
    <mergeCell ref="C19:D19"/>
    <mergeCell ref="E19:F19"/>
    <mergeCell ref="G19:G20"/>
    <mergeCell ref="H19:H2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DB04-6F92-48E4-B0D7-D897AE0E740E}">
  <dimension ref="A2:K10"/>
  <sheetViews>
    <sheetView workbookViewId="0">
      <selection activeCell="J28" sqref="J28"/>
    </sheetView>
  </sheetViews>
  <sheetFormatPr defaultRowHeight="15" x14ac:dyDescent="0.25"/>
  <cols>
    <col min="1" max="1" width="8.42578125" customWidth="1"/>
    <col min="2" max="3" width="10.85546875" customWidth="1"/>
    <col min="4" max="4" width="10.5703125" bestFit="1" customWidth="1"/>
    <col min="5" max="7" width="16" style="3" customWidth="1"/>
    <col min="8" max="8" width="16.42578125" style="3" customWidth="1"/>
    <col min="9" max="9" width="16.85546875" style="3" customWidth="1"/>
    <col min="10" max="10" width="18.28515625" style="3" customWidth="1"/>
    <col min="11" max="11" width="11.28515625" customWidth="1"/>
  </cols>
  <sheetData>
    <row r="2" spans="1:11" ht="15.75" thickBot="1" x14ac:dyDescent="0.3"/>
    <row r="3" spans="1:11" ht="26.25" customHeight="1" thickBot="1" x14ac:dyDescent="0.3">
      <c r="A3" s="148" t="s">
        <v>77</v>
      </c>
      <c r="B3" s="149"/>
      <c r="C3" s="149"/>
      <c r="D3" s="149"/>
      <c r="E3" s="149"/>
      <c r="F3" s="149"/>
      <c r="G3" s="149"/>
      <c r="H3" s="149"/>
      <c r="I3" s="149"/>
      <c r="J3" s="149"/>
      <c r="K3" s="151"/>
    </row>
    <row r="4" spans="1:11" s="1" customFormat="1" ht="27.75" customHeight="1" x14ac:dyDescent="0.25">
      <c r="A4" s="119" t="s">
        <v>1</v>
      </c>
      <c r="B4" s="120" t="s">
        <v>2</v>
      </c>
      <c r="C4" s="120"/>
      <c r="D4" s="120" t="s">
        <v>75</v>
      </c>
      <c r="E4" s="161" t="s">
        <v>61</v>
      </c>
      <c r="F4" s="161" t="s">
        <v>62</v>
      </c>
      <c r="G4" s="161" t="s">
        <v>63</v>
      </c>
      <c r="H4" s="161" t="s">
        <v>72</v>
      </c>
      <c r="I4" s="161" t="s">
        <v>73</v>
      </c>
      <c r="J4" s="161" t="s">
        <v>74</v>
      </c>
      <c r="K4" s="121" t="s">
        <v>24</v>
      </c>
    </row>
    <row r="5" spans="1:11" s="1" customFormat="1" ht="27.75" customHeight="1" thickBot="1" x14ac:dyDescent="0.3">
      <c r="A5" s="152"/>
      <c r="B5" s="70" t="s">
        <v>3</v>
      </c>
      <c r="C5" s="70" t="s">
        <v>4</v>
      </c>
      <c r="D5" s="153"/>
      <c r="E5" s="162"/>
      <c r="F5" s="162"/>
      <c r="G5" s="162"/>
      <c r="H5" s="162"/>
      <c r="I5" s="162"/>
      <c r="J5" s="162"/>
      <c r="K5" s="154"/>
    </row>
    <row r="6" spans="1:11" ht="117" customHeight="1" thickBot="1" x14ac:dyDescent="0.3">
      <c r="A6" s="64">
        <v>1</v>
      </c>
      <c r="B6" s="65">
        <v>0</v>
      </c>
      <c r="C6" s="65">
        <v>17.488</v>
      </c>
      <c r="D6" s="65">
        <f>C6-B6</f>
        <v>17.488</v>
      </c>
      <c r="E6" s="176">
        <v>25.61</v>
      </c>
      <c r="F6" s="176"/>
      <c r="G6" s="66" t="s">
        <v>64</v>
      </c>
      <c r="H6" s="66" t="s">
        <v>78</v>
      </c>
      <c r="I6" s="67">
        <v>5.5</v>
      </c>
      <c r="J6" s="66" t="s">
        <v>76</v>
      </c>
      <c r="K6" s="68"/>
    </row>
    <row r="7" spans="1:11" x14ac:dyDescent="0.25">
      <c r="A7" s="7"/>
      <c r="B7" s="8"/>
      <c r="C7" s="8"/>
    </row>
    <row r="8" spans="1:11" x14ac:dyDescent="0.25">
      <c r="B8" s="8"/>
      <c r="C8" s="8"/>
      <c r="H8" s="4">
        <f>343+5+1+1</f>
        <v>350</v>
      </c>
    </row>
    <row r="9" spans="1:11" x14ac:dyDescent="0.25">
      <c r="B9" s="8"/>
      <c r="C9" s="8"/>
    </row>
    <row r="10" spans="1:11" x14ac:dyDescent="0.25">
      <c r="B10" s="7"/>
      <c r="C10" s="7"/>
    </row>
  </sheetData>
  <mergeCells count="12">
    <mergeCell ref="E6:F6"/>
    <mergeCell ref="A3:K3"/>
    <mergeCell ref="B4:C4"/>
    <mergeCell ref="A4:A5"/>
    <mergeCell ref="D4:D5"/>
    <mergeCell ref="E4:E5"/>
    <mergeCell ref="F4:F5"/>
    <mergeCell ref="G4:G5"/>
    <mergeCell ref="H4:H5"/>
    <mergeCell ref="I4:I5"/>
    <mergeCell ref="J4:J5"/>
    <mergeCell ref="K4:K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FB35D-7475-4846-A066-4BDC4945828B}">
  <dimension ref="A1:G44"/>
  <sheetViews>
    <sheetView topLeftCell="A16" workbookViewId="0">
      <selection activeCell="B7" sqref="B7"/>
    </sheetView>
  </sheetViews>
  <sheetFormatPr defaultRowHeight="15" x14ac:dyDescent="0.25"/>
  <cols>
    <col min="1" max="1" width="8.140625" customWidth="1"/>
    <col min="2" max="3" width="15.85546875" customWidth="1"/>
    <col min="4" max="4" width="25.140625" customWidth="1"/>
    <col min="5" max="5" width="18.28515625" customWidth="1"/>
    <col min="6" max="6" width="51.5703125" bestFit="1" customWidth="1"/>
    <col min="7" max="7" width="11.85546875" customWidth="1"/>
  </cols>
  <sheetData>
    <row r="1" spans="1:7" ht="20.25" customHeight="1" x14ac:dyDescent="0.25">
      <c r="A1" s="119" t="s">
        <v>87</v>
      </c>
      <c r="B1" s="120"/>
      <c r="C1" s="120"/>
      <c r="D1" s="120"/>
      <c r="E1" s="120"/>
      <c r="F1" s="120"/>
      <c r="G1" s="121"/>
    </row>
    <row r="2" spans="1:7" s="7" customFormat="1" ht="36.75" customHeight="1" thickBot="1" x14ac:dyDescent="0.3">
      <c r="A2" s="69" t="s">
        <v>1</v>
      </c>
      <c r="B2" s="19" t="s">
        <v>19</v>
      </c>
      <c r="C2" s="19" t="s">
        <v>79</v>
      </c>
      <c r="D2" s="70" t="s">
        <v>20</v>
      </c>
      <c r="E2" s="70" t="s">
        <v>23</v>
      </c>
      <c r="F2" s="70" t="s">
        <v>80</v>
      </c>
      <c r="G2" s="71" t="s">
        <v>24</v>
      </c>
    </row>
    <row r="3" spans="1:7" ht="20.25" customHeight="1" x14ac:dyDescent="0.25">
      <c r="A3" s="48">
        <v>1</v>
      </c>
      <c r="B3" s="49">
        <v>0</v>
      </c>
      <c r="C3" s="115" t="s">
        <v>81</v>
      </c>
      <c r="D3" s="115"/>
      <c r="E3" s="116" t="s">
        <v>86</v>
      </c>
      <c r="F3" s="116" t="s">
        <v>86</v>
      </c>
      <c r="G3" s="75"/>
    </row>
    <row r="4" spans="1:7" ht="20.25" customHeight="1" x14ac:dyDescent="0.25">
      <c r="A4" s="41">
        <f>A3+1</f>
        <v>2</v>
      </c>
      <c r="B4" s="36">
        <v>4.41</v>
      </c>
      <c r="C4" s="35" t="s">
        <v>31</v>
      </c>
      <c r="D4" s="35" t="s">
        <v>83</v>
      </c>
      <c r="E4" s="117"/>
      <c r="F4" s="117"/>
      <c r="G4" s="73"/>
    </row>
    <row r="5" spans="1:7" ht="20.25" customHeight="1" x14ac:dyDescent="0.25">
      <c r="A5" s="41">
        <f t="shared" ref="A5:A7" si="0">A4+1</f>
        <v>3</v>
      </c>
      <c r="B5" s="36">
        <v>7.52</v>
      </c>
      <c r="C5" s="35" t="s">
        <v>31</v>
      </c>
      <c r="D5" s="35" t="s">
        <v>83</v>
      </c>
      <c r="E5" s="117"/>
      <c r="F5" s="117"/>
      <c r="G5" s="73"/>
    </row>
    <row r="6" spans="1:7" ht="20.25" customHeight="1" x14ac:dyDescent="0.25">
      <c r="A6" s="41">
        <f t="shared" si="0"/>
        <v>4</v>
      </c>
      <c r="B6" s="36">
        <v>10.92</v>
      </c>
      <c r="C6" s="35" t="s">
        <v>82</v>
      </c>
      <c r="D6" s="35" t="s">
        <v>84</v>
      </c>
      <c r="E6" s="117"/>
      <c r="F6" s="117"/>
      <c r="G6" s="73"/>
    </row>
    <row r="7" spans="1:7" ht="20.25" customHeight="1" thickBot="1" x14ac:dyDescent="0.3">
      <c r="A7" s="43">
        <f t="shared" si="0"/>
        <v>5</v>
      </c>
      <c r="B7" s="44">
        <v>34.531999999999996</v>
      </c>
      <c r="C7" s="33" t="s">
        <v>31</v>
      </c>
      <c r="D7" s="33" t="s">
        <v>85</v>
      </c>
      <c r="E7" s="118"/>
      <c r="F7" s="118"/>
      <c r="G7" s="74"/>
    </row>
    <row r="8" spans="1:7" x14ac:dyDescent="0.25">
      <c r="B8" s="8"/>
    </row>
    <row r="9" spans="1:7" x14ac:dyDescent="0.25">
      <c r="A9" t="s">
        <v>88</v>
      </c>
      <c r="B9" s="8"/>
    </row>
    <row r="10" spans="1:7" x14ac:dyDescent="0.25">
      <c r="B10" s="8"/>
    </row>
    <row r="11" spans="1:7" ht="18" customHeight="1" thickBot="1" x14ac:dyDescent="0.3">
      <c r="A11" t="s">
        <v>89</v>
      </c>
      <c r="B11" s="8"/>
    </row>
    <row r="12" spans="1:7" ht="21.75" customHeight="1" x14ac:dyDescent="0.25">
      <c r="A12" s="122" t="s">
        <v>1</v>
      </c>
      <c r="B12" s="124" t="s">
        <v>90</v>
      </c>
      <c r="C12" s="125"/>
      <c r="D12" s="125" t="s">
        <v>91</v>
      </c>
      <c r="E12" s="125" t="s">
        <v>92</v>
      </c>
      <c r="F12" s="125" t="s">
        <v>93</v>
      </c>
      <c r="G12" s="126" t="s">
        <v>24</v>
      </c>
    </row>
    <row r="13" spans="1:7" ht="21.75" customHeight="1" thickBot="1" x14ac:dyDescent="0.3">
      <c r="A13" s="123"/>
      <c r="B13" s="32" t="s">
        <v>3</v>
      </c>
      <c r="C13" s="77" t="s">
        <v>4</v>
      </c>
      <c r="D13" s="118"/>
      <c r="E13" s="118"/>
      <c r="F13" s="118"/>
      <c r="G13" s="127"/>
    </row>
    <row r="14" spans="1:7" ht="15.75" thickBot="1" x14ac:dyDescent="0.3">
      <c r="A14" s="103" t="s">
        <v>94</v>
      </c>
      <c r="B14" s="104"/>
      <c r="C14" s="104"/>
      <c r="D14" s="104"/>
      <c r="E14" s="104"/>
      <c r="F14" s="104"/>
      <c r="G14" s="105"/>
    </row>
    <row r="15" spans="1:7" s="1" customFormat="1" ht="20.100000000000001" customHeight="1" x14ac:dyDescent="0.25">
      <c r="A15" s="38">
        <v>1</v>
      </c>
      <c r="B15" s="79">
        <v>0</v>
      </c>
      <c r="C15" s="27">
        <v>1.0129999999999999</v>
      </c>
      <c r="D15" s="87">
        <v>8</v>
      </c>
      <c r="E15" s="79">
        <f>+C15-B15</f>
        <v>1.0129999999999999</v>
      </c>
      <c r="F15" s="80" t="s">
        <v>99</v>
      </c>
      <c r="G15" s="85"/>
    </row>
    <row r="16" spans="1:7" s="1" customFormat="1" ht="20.100000000000001" customHeight="1" x14ac:dyDescent="0.25">
      <c r="A16" s="41">
        <f>+A15+1</f>
        <v>2</v>
      </c>
      <c r="B16" s="36">
        <v>0.27</v>
      </c>
      <c r="C16" s="36">
        <v>0.59</v>
      </c>
      <c r="D16" s="88">
        <v>8</v>
      </c>
      <c r="E16" s="36">
        <f t="shared" ref="E16:E42" si="1">+C16-B16</f>
        <v>0.31999999999999995</v>
      </c>
      <c r="F16" s="62" t="s">
        <v>100</v>
      </c>
      <c r="G16" s="86"/>
    </row>
    <row r="17" spans="1:7" s="1" customFormat="1" ht="20.100000000000001" customHeight="1" x14ac:dyDescent="0.25">
      <c r="A17" s="41">
        <f t="shared" ref="A17:A23" si="2">+A16+1</f>
        <v>3</v>
      </c>
      <c r="B17" s="36">
        <v>0</v>
      </c>
      <c r="C17" s="35">
        <v>0.70599999999999996</v>
      </c>
      <c r="D17" s="88">
        <v>8</v>
      </c>
      <c r="E17" s="36">
        <f t="shared" si="1"/>
        <v>0.70599999999999996</v>
      </c>
      <c r="F17" s="62" t="s">
        <v>101</v>
      </c>
      <c r="G17" s="86"/>
    </row>
    <row r="18" spans="1:7" s="1" customFormat="1" ht="20.100000000000001" customHeight="1" thickBot="1" x14ac:dyDescent="0.3">
      <c r="A18" s="43">
        <f t="shared" si="2"/>
        <v>4</v>
      </c>
      <c r="B18" s="44">
        <v>0</v>
      </c>
      <c r="C18" s="44">
        <v>0.8</v>
      </c>
      <c r="D18" s="89">
        <v>8</v>
      </c>
      <c r="E18" s="44">
        <f t="shared" si="1"/>
        <v>0.8</v>
      </c>
      <c r="F18" s="82" t="s">
        <v>102</v>
      </c>
      <c r="G18" s="63"/>
    </row>
    <row r="19" spans="1:7" ht="15.75" thickBot="1" x14ac:dyDescent="0.3">
      <c r="A19" s="106" t="s">
        <v>95</v>
      </c>
      <c r="B19" s="107"/>
      <c r="C19" s="107"/>
      <c r="D19" s="107"/>
      <c r="E19" s="107"/>
      <c r="F19" s="107"/>
      <c r="G19" s="108"/>
    </row>
    <row r="20" spans="1:7" ht="20.100000000000001" customHeight="1" x14ac:dyDescent="0.25">
      <c r="A20" s="38">
        <v>1</v>
      </c>
      <c r="B20" s="79">
        <v>0</v>
      </c>
      <c r="C20" s="27">
        <v>0.71</v>
      </c>
      <c r="D20" s="87">
        <v>8</v>
      </c>
      <c r="E20" s="79">
        <f t="shared" si="1"/>
        <v>0.71</v>
      </c>
      <c r="F20" s="80" t="s">
        <v>103</v>
      </c>
      <c r="G20" s="81"/>
    </row>
    <row r="21" spans="1:7" ht="20.100000000000001" customHeight="1" x14ac:dyDescent="0.25">
      <c r="A21" s="41">
        <f t="shared" si="2"/>
        <v>2</v>
      </c>
      <c r="B21" s="36">
        <v>0</v>
      </c>
      <c r="C21" s="35">
        <v>0.71</v>
      </c>
      <c r="D21" s="88">
        <v>8</v>
      </c>
      <c r="E21" s="36">
        <f t="shared" si="1"/>
        <v>0.71</v>
      </c>
      <c r="F21" s="62" t="s">
        <v>104</v>
      </c>
      <c r="G21" s="73"/>
    </row>
    <row r="22" spans="1:7" ht="20.100000000000001" customHeight="1" x14ac:dyDescent="0.25">
      <c r="A22" s="41">
        <f t="shared" si="2"/>
        <v>3</v>
      </c>
      <c r="B22" s="36">
        <v>0</v>
      </c>
      <c r="C22" s="35">
        <v>1.048</v>
      </c>
      <c r="D22" s="88">
        <v>8</v>
      </c>
      <c r="E22" s="36">
        <f t="shared" si="1"/>
        <v>1.048</v>
      </c>
      <c r="F22" s="62" t="s">
        <v>105</v>
      </c>
      <c r="G22" s="73"/>
    </row>
    <row r="23" spans="1:7" ht="20.100000000000001" customHeight="1" thickBot="1" x14ac:dyDescent="0.3">
      <c r="A23" s="43">
        <f t="shared" si="2"/>
        <v>4</v>
      </c>
      <c r="B23" s="44">
        <v>0</v>
      </c>
      <c r="C23" s="33">
        <v>0.85899999999999999</v>
      </c>
      <c r="D23" s="89">
        <v>8</v>
      </c>
      <c r="E23" s="44">
        <f t="shared" si="1"/>
        <v>0.85899999999999999</v>
      </c>
      <c r="F23" s="82" t="s">
        <v>106</v>
      </c>
      <c r="G23" s="74"/>
    </row>
    <row r="24" spans="1:7" ht="15.75" thickBot="1" x14ac:dyDescent="0.3">
      <c r="A24" s="109" t="s">
        <v>96</v>
      </c>
      <c r="B24" s="110"/>
      <c r="C24" s="110"/>
      <c r="D24" s="110"/>
      <c r="E24" s="110"/>
      <c r="F24" s="110"/>
      <c r="G24" s="111"/>
    </row>
    <row r="25" spans="1:7" ht="20.100000000000001" customHeight="1" x14ac:dyDescent="0.25">
      <c r="A25" s="48">
        <v>1</v>
      </c>
      <c r="B25" s="49">
        <v>0.21</v>
      </c>
      <c r="C25" s="23">
        <v>0.72099999999999997</v>
      </c>
      <c r="D25" s="90">
        <v>8</v>
      </c>
      <c r="E25" s="49">
        <f t="shared" si="1"/>
        <v>0.51100000000000001</v>
      </c>
      <c r="F25" s="84" t="s">
        <v>107</v>
      </c>
      <c r="G25" s="75"/>
    </row>
    <row r="26" spans="1:7" ht="20.100000000000001" customHeight="1" x14ac:dyDescent="0.25">
      <c r="A26" s="41">
        <f t="shared" ref="A26:A28" si="3">+A25+1</f>
        <v>2</v>
      </c>
      <c r="B26" s="36">
        <v>0.21</v>
      </c>
      <c r="C26" s="35">
        <v>0.71899999999999997</v>
      </c>
      <c r="D26" s="88">
        <v>8</v>
      </c>
      <c r="E26" s="36">
        <f t="shared" si="1"/>
        <v>0.50900000000000001</v>
      </c>
      <c r="F26" s="62" t="s">
        <v>108</v>
      </c>
      <c r="G26" s="73"/>
    </row>
    <row r="27" spans="1:7" ht="20.100000000000001" customHeight="1" x14ac:dyDescent="0.25">
      <c r="A27" s="41">
        <f t="shared" si="3"/>
        <v>3</v>
      </c>
      <c r="B27" s="36">
        <v>0.21</v>
      </c>
      <c r="C27" s="35">
        <v>1.129</v>
      </c>
      <c r="D27" s="88">
        <v>8</v>
      </c>
      <c r="E27" s="36">
        <f t="shared" si="1"/>
        <v>0.91900000000000004</v>
      </c>
      <c r="F27" s="62" t="s">
        <v>110</v>
      </c>
      <c r="G27" s="73"/>
    </row>
    <row r="28" spans="1:7" ht="20.100000000000001" customHeight="1" thickBot="1" x14ac:dyDescent="0.3">
      <c r="A28" s="43">
        <f t="shared" si="3"/>
        <v>4</v>
      </c>
      <c r="B28" s="44">
        <v>0.21</v>
      </c>
      <c r="C28" s="44">
        <v>1.04</v>
      </c>
      <c r="D28" s="89">
        <v>8</v>
      </c>
      <c r="E28" s="44">
        <f t="shared" si="1"/>
        <v>0.83000000000000007</v>
      </c>
      <c r="F28" s="82" t="s">
        <v>109</v>
      </c>
      <c r="G28" s="74"/>
    </row>
    <row r="29" spans="1:7" ht="15.75" thickBot="1" x14ac:dyDescent="0.3">
      <c r="A29" s="112" t="s">
        <v>97</v>
      </c>
      <c r="B29" s="113"/>
      <c r="C29" s="113"/>
      <c r="D29" s="113"/>
      <c r="E29" s="113"/>
      <c r="F29" s="113"/>
      <c r="G29" s="114"/>
    </row>
    <row r="30" spans="1:7" ht="20.100000000000001" customHeight="1" x14ac:dyDescent="0.25">
      <c r="A30" s="38">
        <v>1</v>
      </c>
      <c r="B30" s="79">
        <v>0</v>
      </c>
      <c r="C30" s="27">
        <v>0.65200000000000002</v>
      </c>
      <c r="D30" s="87">
        <v>8</v>
      </c>
      <c r="E30" s="79">
        <f t="shared" si="1"/>
        <v>0.65200000000000002</v>
      </c>
      <c r="F30" s="80" t="s">
        <v>111</v>
      </c>
      <c r="G30" s="81"/>
    </row>
    <row r="31" spans="1:7" ht="20.100000000000001" customHeight="1" x14ac:dyDescent="0.25">
      <c r="A31" s="41">
        <f t="shared" ref="A31:A33" si="4">+A30+1</f>
        <v>2</v>
      </c>
      <c r="B31" s="36">
        <v>0</v>
      </c>
      <c r="C31" s="35">
        <v>0.59199999999999997</v>
      </c>
      <c r="D31" s="88">
        <v>8</v>
      </c>
      <c r="E31" s="36">
        <f t="shared" si="1"/>
        <v>0.59199999999999997</v>
      </c>
      <c r="F31" s="62" t="s">
        <v>112</v>
      </c>
      <c r="G31" s="73"/>
    </row>
    <row r="32" spans="1:7" ht="20.100000000000001" customHeight="1" x14ac:dyDescent="0.25">
      <c r="A32" s="41">
        <f t="shared" si="4"/>
        <v>3</v>
      </c>
      <c r="B32" s="36">
        <v>0</v>
      </c>
      <c r="C32" s="35">
        <v>0.64</v>
      </c>
      <c r="D32" s="88">
        <v>8</v>
      </c>
      <c r="E32" s="36">
        <f t="shared" si="1"/>
        <v>0.64</v>
      </c>
      <c r="F32" s="62" t="s">
        <v>113</v>
      </c>
      <c r="G32" s="73"/>
    </row>
    <row r="33" spans="1:7" ht="20.100000000000001" customHeight="1" x14ac:dyDescent="0.25">
      <c r="A33" s="41">
        <f t="shared" si="4"/>
        <v>4</v>
      </c>
      <c r="B33" s="36">
        <v>0</v>
      </c>
      <c r="C33" s="36">
        <v>0.58099999999999996</v>
      </c>
      <c r="D33" s="88">
        <v>8</v>
      </c>
      <c r="E33" s="36">
        <f t="shared" si="1"/>
        <v>0.58099999999999996</v>
      </c>
      <c r="F33" s="62" t="s">
        <v>114</v>
      </c>
      <c r="G33" s="73"/>
    </row>
    <row r="34" spans="1:7" ht="20.100000000000001" customHeight="1" x14ac:dyDescent="0.25">
      <c r="A34" s="41">
        <f>+A33+1</f>
        <v>5</v>
      </c>
      <c r="B34" s="36">
        <v>0</v>
      </c>
      <c r="C34" s="35">
        <v>0.43099999999999999</v>
      </c>
      <c r="D34" s="88">
        <v>8</v>
      </c>
      <c r="E34" s="36">
        <f t="shared" si="1"/>
        <v>0.43099999999999999</v>
      </c>
      <c r="F34" s="62" t="s">
        <v>115</v>
      </c>
      <c r="G34" s="73"/>
    </row>
    <row r="35" spans="1:7" ht="20.100000000000001" customHeight="1" x14ac:dyDescent="0.25">
      <c r="A35" s="41">
        <f t="shared" ref="A35:A37" si="5">+A34+1</f>
        <v>6</v>
      </c>
      <c r="B35" s="36">
        <v>0</v>
      </c>
      <c r="C35" s="35">
        <v>0.43099999999999999</v>
      </c>
      <c r="D35" s="88">
        <v>8</v>
      </c>
      <c r="E35" s="36">
        <f t="shared" si="1"/>
        <v>0.43099999999999999</v>
      </c>
      <c r="F35" s="62" t="s">
        <v>116</v>
      </c>
      <c r="G35" s="73"/>
    </row>
    <row r="36" spans="1:7" ht="20.100000000000001" customHeight="1" x14ac:dyDescent="0.25">
      <c r="A36" s="41">
        <f t="shared" si="5"/>
        <v>7</v>
      </c>
      <c r="B36" s="36">
        <v>0</v>
      </c>
      <c r="C36" s="35">
        <v>0.43099999999999999</v>
      </c>
      <c r="D36" s="88">
        <v>8</v>
      </c>
      <c r="E36" s="36">
        <f t="shared" si="1"/>
        <v>0.43099999999999999</v>
      </c>
      <c r="F36" s="62" t="s">
        <v>117</v>
      </c>
      <c r="G36" s="73"/>
    </row>
    <row r="37" spans="1:7" ht="20.100000000000001" customHeight="1" thickBot="1" x14ac:dyDescent="0.3">
      <c r="A37" s="43">
        <f t="shared" si="5"/>
        <v>8</v>
      </c>
      <c r="B37" s="44">
        <v>0</v>
      </c>
      <c r="C37" s="33">
        <v>0.43099999999999999</v>
      </c>
      <c r="D37" s="89">
        <v>8</v>
      </c>
      <c r="E37" s="44">
        <f t="shared" si="1"/>
        <v>0.43099999999999999</v>
      </c>
      <c r="F37" s="82" t="s">
        <v>118</v>
      </c>
      <c r="G37" s="74"/>
    </row>
    <row r="38" spans="1:7" ht="15.75" thickBot="1" x14ac:dyDescent="0.3">
      <c r="A38" s="112" t="s">
        <v>98</v>
      </c>
      <c r="B38" s="113"/>
      <c r="C38" s="113"/>
      <c r="D38" s="113"/>
      <c r="E38" s="113"/>
      <c r="F38" s="113"/>
      <c r="G38" s="114"/>
    </row>
    <row r="39" spans="1:7" ht="20.100000000000001" customHeight="1" x14ac:dyDescent="0.25">
      <c r="A39" s="38">
        <v>1</v>
      </c>
      <c r="B39" s="79">
        <v>34.950000000000003</v>
      </c>
      <c r="C39" s="27">
        <v>35.161999999999999</v>
      </c>
      <c r="D39" s="87">
        <v>8</v>
      </c>
      <c r="E39" s="79">
        <f t="shared" si="1"/>
        <v>0.21199999999999619</v>
      </c>
      <c r="F39" s="80" t="s">
        <v>119</v>
      </c>
      <c r="G39" s="81"/>
    </row>
    <row r="40" spans="1:7" ht="20.100000000000001" customHeight="1" x14ac:dyDescent="0.25">
      <c r="A40" s="41">
        <f t="shared" ref="A40:A42" si="6">+A39+1</f>
        <v>2</v>
      </c>
      <c r="B40" s="36">
        <v>35</v>
      </c>
      <c r="C40" s="35">
        <v>35.215000000000003</v>
      </c>
      <c r="D40" s="88">
        <v>8</v>
      </c>
      <c r="E40" s="36">
        <f t="shared" si="1"/>
        <v>0.21500000000000341</v>
      </c>
      <c r="F40" s="62" t="s">
        <v>120</v>
      </c>
      <c r="G40" s="73"/>
    </row>
    <row r="41" spans="1:7" ht="20.100000000000001" customHeight="1" x14ac:dyDescent="0.25">
      <c r="A41" s="41">
        <f t="shared" si="6"/>
        <v>3</v>
      </c>
      <c r="B41" s="36">
        <v>34.531999999999996</v>
      </c>
      <c r="C41" s="35">
        <v>34.661000000000001</v>
      </c>
      <c r="D41" s="88">
        <v>8</v>
      </c>
      <c r="E41" s="36">
        <f t="shared" si="1"/>
        <v>0.12900000000000489</v>
      </c>
      <c r="F41" s="62" t="s">
        <v>121</v>
      </c>
      <c r="G41" s="73"/>
    </row>
    <row r="42" spans="1:7" ht="20.100000000000001" customHeight="1" thickBot="1" x14ac:dyDescent="0.3">
      <c r="A42" s="43">
        <f t="shared" si="6"/>
        <v>4</v>
      </c>
      <c r="B42" s="44">
        <v>34.531999999999996</v>
      </c>
      <c r="C42" s="44">
        <v>34.558999999999997</v>
      </c>
      <c r="D42" s="89">
        <v>8</v>
      </c>
      <c r="E42" s="44">
        <f t="shared" si="1"/>
        <v>2.7000000000001023E-2</v>
      </c>
      <c r="F42" s="82" t="s">
        <v>122</v>
      </c>
      <c r="G42" s="74"/>
    </row>
    <row r="43" spans="1:7" x14ac:dyDescent="0.25">
      <c r="B43" s="8"/>
    </row>
    <row r="44" spans="1:7" x14ac:dyDescent="0.25">
      <c r="A44" t="s">
        <v>88</v>
      </c>
    </row>
  </sheetData>
  <mergeCells count="15">
    <mergeCell ref="C3:D3"/>
    <mergeCell ref="E3:E7"/>
    <mergeCell ref="F3:F7"/>
    <mergeCell ref="A1:G1"/>
    <mergeCell ref="A12:A13"/>
    <mergeCell ref="B12:C12"/>
    <mergeCell ref="D12:D13"/>
    <mergeCell ref="E12:E13"/>
    <mergeCell ref="F12:F13"/>
    <mergeCell ref="G12:G13"/>
    <mergeCell ref="A14:G14"/>
    <mergeCell ref="A19:G19"/>
    <mergeCell ref="A24:G24"/>
    <mergeCell ref="A29:G29"/>
    <mergeCell ref="A38:G3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4A1F5-77C3-414E-BC97-903EA2E7C029}">
  <dimension ref="A4:G25"/>
  <sheetViews>
    <sheetView topLeftCell="A8" workbookViewId="0">
      <selection activeCell="G25" sqref="G25"/>
    </sheetView>
  </sheetViews>
  <sheetFormatPr defaultRowHeight="15" x14ac:dyDescent="0.25"/>
  <cols>
    <col min="1" max="1" width="6.85546875" bestFit="1" customWidth="1"/>
    <col min="2" max="3" width="10.42578125" customWidth="1"/>
    <col min="4" max="5" width="12.28515625" customWidth="1"/>
    <col min="6" max="6" width="17.7109375" bestFit="1" customWidth="1"/>
    <col min="7" max="7" width="19" bestFit="1" customWidth="1"/>
  </cols>
  <sheetData>
    <row r="4" spans="1:7" ht="72" customHeight="1" x14ac:dyDescent="0.25">
      <c r="A4" s="158" t="s">
        <v>204</v>
      </c>
      <c r="B4" s="158"/>
      <c r="C4" s="158"/>
      <c r="D4" s="158"/>
      <c r="E4" s="158"/>
      <c r="F4" s="158"/>
      <c r="G4" s="158"/>
    </row>
    <row r="5" spans="1:7" x14ac:dyDescent="0.25">
      <c r="A5" s="128" t="s">
        <v>201</v>
      </c>
      <c r="B5" s="177" t="s">
        <v>2</v>
      </c>
      <c r="C5" s="177"/>
      <c r="D5" s="177" t="s">
        <v>44</v>
      </c>
      <c r="E5" s="177"/>
      <c r="F5" s="158" t="s">
        <v>202</v>
      </c>
      <c r="G5" s="158" t="s">
        <v>203</v>
      </c>
    </row>
    <row r="6" spans="1:7" x14ac:dyDescent="0.25">
      <c r="A6" s="128"/>
      <c r="B6" s="7" t="s">
        <v>3</v>
      </c>
      <c r="C6" s="7" t="s">
        <v>4</v>
      </c>
      <c r="D6" s="7" t="s">
        <v>45</v>
      </c>
      <c r="E6" s="7" t="s">
        <v>46</v>
      </c>
      <c r="F6" s="158"/>
      <c r="G6" s="158"/>
    </row>
    <row r="7" spans="1:7" x14ac:dyDescent="0.25">
      <c r="A7" s="7">
        <v>1</v>
      </c>
      <c r="B7" s="8">
        <v>24.11</v>
      </c>
      <c r="C7" s="8">
        <v>24.72</v>
      </c>
      <c r="D7" s="8">
        <f>+C7-B7</f>
        <v>0.60999999999999943</v>
      </c>
      <c r="F7" s="7" t="s">
        <v>205</v>
      </c>
      <c r="G7" s="8">
        <f>+E7+D7</f>
        <v>0.60999999999999943</v>
      </c>
    </row>
    <row r="8" spans="1:7" x14ac:dyDescent="0.25">
      <c r="A8" s="7">
        <f>+A7+1</f>
        <v>2</v>
      </c>
      <c r="B8" s="8">
        <v>27.6</v>
      </c>
      <c r="C8" s="8">
        <v>28.12</v>
      </c>
      <c r="D8" s="8">
        <f>+C8-B8</f>
        <v>0.51999999999999957</v>
      </c>
      <c r="F8" s="7" t="s">
        <v>205</v>
      </c>
      <c r="G8" s="8">
        <f t="shared" ref="G8:G11" si="0">+E8+D8</f>
        <v>0.51999999999999957</v>
      </c>
    </row>
    <row r="9" spans="1:7" x14ac:dyDescent="0.25">
      <c r="A9" s="7">
        <f>+A8+1</f>
        <v>3</v>
      </c>
      <c r="B9" s="8">
        <v>29.49</v>
      </c>
      <c r="C9" s="8">
        <v>30.06</v>
      </c>
      <c r="D9" s="8">
        <f>+C9-B9</f>
        <v>0.57000000000000028</v>
      </c>
      <c r="F9" s="7" t="s">
        <v>205</v>
      </c>
      <c r="G9" s="8">
        <f t="shared" si="0"/>
        <v>0.57000000000000028</v>
      </c>
    </row>
    <row r="10" spans="1:7" x14ac:dyDescent="0.25">
      <c r="A10" s="7">
        <f>+A9+1</f>
        <v>4</v>
      </c>
      <c r="B10" s="8">
        <v>32.22</v>
      </c>
      <c r="C10" s="8">
        <v>32.869999999999997</v>
      </c>
      <c r="D10" s="8">
        <f>+C10-B10</f>
        <v>0.64999999999999858</v>
      </c>
      <c r="F10" s="7" t="s">
        <v>205</v>
      </c>
      <c r="G10" s="8">
        <f t="shared" si="0"/>
        <v>0.64999999999999858</v>
      </c>
    </row>
    <row r="11" spans="1:7" x14ac:dyDescent="0.25">
      <c r="A11" s="7">
        <f>+A10+1</f>
        <v>5</v>
      </c>
      <c r="B11" s="8">
        <v>34.01</v>
      </c>
      <c r="C11" s="8">
        <v>34.531999999999996</v>
      </c>
      <c r="D11" s="8">
        <f>+C11-B11</f>
        <v>0.52199999999999847</v>
      </c>
      <c r="F11" s="7" t="s">
        <v>205</v>
      </c>
      <c r="G11" s="8">
        <f t="shared" si="0"/>
        <v>0.52199999999999847</v>
      </c>
    </row>
    <row r="12" spans="1:7" x14ac:dyDescent="0.25">
      <c r="F12" s="7"/>
      <c r="G12" s="99">
        <f>SUM(G7:G11)</f>
        <v>2.8719999999999963</v>
      </c>
    </row>
    <row r="14" spans="1:7" x14ac:dyDescent="0.25">
      <c r="A14" s="177" t="s">
        <v>206</v>
      </c>
      <c r="B14" s="177"/>
      <c r="C14" s="177"/>
      <c r="D14" s="177"/>
      <c r="E14" s="177"/>
      <c r="F14" s="177"/>
      <c r="G14" s="177"/>
    </row>
    <row r="15" spans="1:7" x14ac:dyDescent="0.25">
      <c r="A15" s="128" t="s">
        <v>201</v>
      </c>
      <c r="B15" s="177" t="s">
        <v>2</v>
      </c>
      <c r="C15" s="177"/>
      <c r="D15" s="177" t="s">
        <v>44</v>
      </c>
      <c r="E15" s="177"/>
      <c r="F15" s="158" t="s">
        <v>202</v>
      </c>
      <c r="G15" s="158" t="s">
        <v>203</v>
      </c>
    </row>
    <row r="16" spans="1:7" x14ac:dyDescent="0.25">
      <c r="A16" s="128"/>
      <c r="B16" s="7" t="s">
        <v>3</v>
      </c>
      <c r="C16" s="7" t="s">
        <v>4</v>
      </c>
      <c r="D16" s="7" t="s">
        <v>45</v>
      </c>
      <c r="E16" s="7" t="s">
        <v>46</v>
      </c>
      <c r="F16" s="158"/>
      <c r="G16" s="158"/>
    </row>
    <row r="17" spans="1:7" x14ac:dyDescent="0.25">
      <c r="A17" s="7">
        <v>1</v>
      </c>
      <c r="B17" s="8">
        <v>17.87</v>
      </c>
      <c r="C17" s="8">
        <v>19.27</v>
      </c>
      <c r="D17" s="8">
        <f t="shared" ref="D17:D24" si="1">+C17-B17</f>
        <v>1.3999999999999986</v>
      </c>
      <c r="E17" s="8">
        <f>+D17</f>
        <v>1.3999999999999986</v>
      </c>
      <c r="F17" s="7" t="s">
        <v>207</v>
      </c>
      <c r="G17" s="8">
        <f>+D17+E17</f>
        <v>2.7999999999999972</v>
      </c>
    </row>
    <row r="18" spans="1:7" x14ac:dyDescent="0.25">
      <c r="A18" s="7">
        <f>+A17+1</f>
        <v>2</v>
      </c>
      <c r="B18" s="8">
        <v>19.93</v>
      </c>
      <c r="C18" s="8">
        <v>21.36</v>
      </c>
      <c r="D18" s="8">
        <f t="shared" si="1"/>
        <v>1.4299999999999997</v>
      </c>
      <c r="E18" s="8">
        <f t="shared" ref="E18:E24" si="2">+D18</f>
        <v>1.4299999999999997</v>
      </c>
      <c r="F18" s="7" t="s">
        <v>207</v>
      </c>
      <c r="G18" s="8">
        <f t="shared" ref="G18:G24" si="3">+D18+E18</f>
        <v>2.8599999999999994</v>
      </c>
    </row>
    <row r="19" spans="1:7" x14ac:dyDescent="0.25">
      <c r="A19" s="7">
        <f t="shared" ref="A19:A24" si="4">+A18+1</f>
        <v>3</v>
      </c>
      <c r="B19" s="8">
        <v>22.01</v>
      </c>
      <c r="C19" s="8">
        <v>23.45</v>
      </c>
      <c r="D19" s="8">
        <f t="shared" si="1"/>
        <v>1.4399999999999977</v>
      </c>
      <c r="E19" s="8">
        <f t="shared" si="2"/>
        <v>1.4399999999999977</v>
      </c>
      <c r="F19" s="7" t="s">
        <v>207</v>
      </c>
      <c r="G19" s="8">
        <f t="shared" si="3"/>
        <v>2.8799999999999955</v>
      </c>
    </row>
    <row r="20" spans="1:7" x14ac:dyDescent="0.25">
      <c r="A20" s="7">
        <f t="shared" si="4"/>
        <v>4</v>
      </c>
      <c r="B20" s="8">
        <v>23.45</v>
      </c>
      <c r="C20" s="8">
        <v>24.11</v>
      </c>
      <c r="D20" s="8">
        <f t="shared" si="1"/>
        <v>0.66000000000000014</v>
      </c>
      <c r="E20" s="8">
        <f t="shared" si="2"/>
        <v>0.66000000000000014</v>
      </c>
      <c r="F20" s="7" t="s">
        <v>208</v>
      </c>
      <c r="G20" s="8">
        <f t="shared" si="3"/>
        <v>1.3200000000000003</v>
      </c>
    </row>
    <row r="21" spans="1:7" x14ac:dyDescent="0.25">
      <c r="A21" s="7">
        <f t="shared" si="4"/>
        <v>5</v>
      </c>
      <c r="B21" s="8">
        <v>24.72</v>
      </c>
      <c r="C21" s="8">
        <v>27.6</v>
      </c>
      <c r="D21" s="8">
        <f t="shared" si="1"/>
        <v>2.8800000000000026</v>
      </c>
      <c r="E21" s="8">
        <f t="shared" si="2"/>
        <v>2.8800000000000026</v>
      </c>
      <c r="F21" s="7" t="s">
        <v>208</v>
      </c>
      <c r="G21" s="8">
        <f t="shared" si="3"/>
        <v>5.7600000000000051</v>
      </c>
    </row>
    <row r="22" spans="1:7" x14ac:dyDescent="0.25">
      <c r="A22" s="7">
        <f t="shared" si="4"/>
        <v>6</v>
      </c>
      <c r="B22" s="8">
        <v>28.12</v>
      </c>
      <c r="C22" s="8">
        <v>29.49</v>
      </c>
      <c r="D22" s="8">
        <f t="shared" si="1"/>
        <v>1.3699999999999974</v>
      </c>
      <c r="E22" s="8">
        <f t="shared" si="2"/>
        <v>1.3699999999999974</v>
      </c>
      <c r="F22" s="7" t="s">
        <v>208</v>
      </c>
      <c r="G22" s="8">
        <f t="shared" si="3"/>
        <v>2.7399999999999949</v>
      </c>
    </row>
    <row r="23" spans="1:7" x14ac:dyDescent="0.25">
      <c r="A23" s="7">
        <f t="shared" si="4"/>
        <v>7</v>
      </c>
      <c r="B23" s="8">
        <v>30.06</v>
      </c>
      <c r="C23" s="8">
        <v>32.22</v>
      </c>
      <c r="D23" s="8">
        <f t="shared" si="1"/>
        <v>2.16</v>
      </c>
      <c r="E23" s="8">
        <f t="shared" si="2"/>
        <v>2.16</v>
      </c>
      <c r="F23" s="7" t="s">
        <v>208</v>
      </c>
      <c r="G23" s="8">
        <f t="shared" si="3"/>
        <v>4.32</v>
      </c>
    </row>
    <row r="24" spans="1:7" x14ac:dyDescent="0.25">
      <c r="A24" s="7">
        <f t="shared" si="4"/>
        <v>8</v>
      </c>
      <c r="B24" s="8">
        <v>32.869999999999997</v>
      </c>
      <c r="C24" s="8">
        <v>34.01</v>
      </c>
      <c r="D24" s="8">
        <f t="shared" si="1"/>
        <v>1.1400000000000006</v>
      </c>
      <c r="E24" s="8">
        <f t="shared" si="2"/>
        <v>1.1400000000000006</v>
      </c>
      <c r="F24" s="7" t="s">
        <v>208</v>
      </c>
      <c r="G24" s="8">
        <f t="shared" si="3"/>
        <v>2.2800000000000011</v>
      </c>
    </row>
    <row r="25" spans="1:7" x14ac:dyDescent="0.25">
      <c r="G25" s="99">
        <f>SUM(G17:G24)</f>
        <v>24.959999999999994</v>
      </c>
    </row>
  </sheetData>
  <mergeCells count="12">
    <mergeCell ref="B5:C5"/>
    <mergeCell ref="D5:E5"/>
    <mergeCell ref="A4:G4"/>
    <mergeCell ref="A5:A6"/>
    <mergeCell ref="F5:F6"/>
    <mergeCell ref="G5:G6"/>
    <mergeCell ref="A14:G14"/>
    <mergeCell ref="A15:A16"/>
    <mergeCell ref="B15:C15"/>
    <mergeCell ref="D15:E15"/>
    <mergeCell ref="F15:F16"/>
    <mergeCell ref="G15:G1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FCADE-7012-4395-838D-2230CFB2CC28}">
  <dimension ref="B4:E5"/>
  <sheetViews>
    <sheetView workbookViewId="0">
      <selection activeCell="D13" sqref="D13"/>
    </sheetView>
  </sheetViews>
  <sheetFormatPr defaultRowHeight="15" x14ac:dyDescent="0.25"/>
  <sheetData>
    <row r="4" spans="2:5" x14ac:dyDescent="0.25">
      <c r="B4" s="59">
        <v>34.49</v>
      </c>
      <c r="C4" t="s">
        <v>209</v>
      </c>
      <c r="D4" t="s">
        <v>210</v>
      </c>
      <c r="E4" t="s">
        <v>211</v>
      </c>
    </row>
    <row r="5" spans="2:5" x14ac:dyDescent="0.25">
      <c r="B5" s="59">
        <v>35.1</v>
      </c>
      <c r="C5" t="s">
        <v>209</v>
      </c>
      <c r="D5" t="s">
        <v>210</v>
      </c>
      <c r="E5" t="s">
        <v>212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D1E55B-C079-4975-9F9C-66423BC2F585}">
  <dimension ref="A1:N19"/>
  <sheetViews>
    <sheetView workbookViewId="0">
      <selection activeCell="C24" sqref="C24"/>
    </sheetView>
  </sheetViews>
  <sheetFormatPr defaultRowHeight="15" x14ac:dyDescent="0.25"/>
  <cols>
    <col min="1" max="1" width="7.85546875" customWidth="1"/>
    <col min="2" max="2" width="12.140625" customWidth="1"/>
    <col min="3" max="4" width="10.85546875" customWidth="1"/>
    <col min="5" max="6" width="10" customWidth="1"/>
    <col min="7" max="7" width="13" customWidth="1"/>
    <col min="8" max="8" width="20" customWidth="1"/>
    <col min="14" max="14" width="44.140625" customWidth="1"/>
  </cols>
  <sheetData>
    <row r="1" spans="1:8" ht="24" customHeight="1" thickBot="1" x14ac:dyDescent="0.3">
      <c r="A1" s="148" t="s">
        <v>213</v>
      </c>
      <c r="B1" s="149"/>
      <c r="C1" s="149"/>
      <c r="D1" s="149"/>
      <c r="E1" s="149"/>
      <c r="F1" s="149"/>
      <c r="G1" s="149"/>
      <c r="H1" s="151"/>
    </row>
    <row r="2" spans="1:8" s="4" customFormat="1" ht="32.25" customHeight="1" x14ac:dyDescent="0.25">
      <c r="A2" s="165" t="s">
        <v>1</v>
      </c>
      <c r="B2" s="166" t="s">
        <v>214</v>
      </c>
      <c r="C2" s="166" t="s">
        <v>215</v>
      </c>
      <c r="D2" s="166"/>
      <c r="E2" s="181" t="s">
        <v>216</v>
      </c>
      <c r="F2" s="181"/>
      <c r="G2" s="166" t="s">
        <v>203</v>
      </c>
      <c r="H2" s="167" t="s">
        <v>24</v>
      </c>
    </row>
    <row r="3" spans="1:8" s="4" customFormat="1" ht="24" customHeight="1" thickBot="1" x14ac:dyDescent="0.3">
      <c r="A3" s="160"/>
      <c r="B3" s="162"/>
      <c r="C3" s="19" t="s">
        <v>3</v>
      </c>
      <c r="D3" s="19" t="s">
        <v>4</v>
      </c>
      <c r="E3" s="19" t="s">
        <v>45</v>
      </c>
      <c r="F3" s="19" t="s">
        <v>46</v>
      </c>
      <c r="G3" s="162"/>
      <c r="H3" s="164"/>
    </row>
    <row r="4" spans="1:8" s="1" customFormat="1" ht="21.75" customHeight="1" x14ac:dyDescent="0.25">
      <c r="A4" s="48">
        <v>1</v>
      </c>
      <c r="B4" s="84"/>
      <c r="C4" s="23">
        <v>17.488</v>
      </c>
      <c r="D4" s="23">
        <v>17.87</v>
      </c>
      <c r="E4" s="23">
        <v>0.38200000000000001</v>
      </c>
      <c r="F4" s="23">
        <f t="shared" ref="F4:F11" si="0">+E4</f>
        <v>0.38200000000000001</v>
      </c>
      <c r="G4" s="23">
        <f>+F4+E4</f>
        <v>0.76400000000000001</v>
      </c>
      <c r="H4" s="51"/>
    </row>
    <row r="5" spans="1:8" s="1" customFormat="1" ht="21.75" customHeight="1" x14ac:dyDescent="0.25">
      <c r="A5" s="41">
        <f>+A4+1</f>
        <v>2</v>
      </c>
      <c r="B5" s="36">
        <v>19.63</v>
      </c>
      <c r="C5" s="35">
        <v>19.27</v>
      </c>
      <c r="D5" s="35">
        <v>19.93</v>
      </c>
      <c r="E5" s="35">
        <v>0.66</v>
      </c>
      <c r="F5" s="35">
        <f t="shared" si="0"/>
        <v>0.66</v>
      </c>
      <c r="G5" s="35">
        <f t="shared" ref="G5:G11" si="1">+F5+E5</f>
        <v>1.32</v>
      </c>
      <c r="H5" s="42" t="s">
        <v>32</v>
      </c>
    </row>
    <row r="6" spans="1:8" s="1" customFormat="1" ht="21.75" customHeight="1" x14ac:dyDescent="0.25">
      <c r="A6" s="41">
        <f t="shared" ref="A6:A11" si="2">+A5+1</f>
        <v>3</v>
      </c>
      <c r="B6" s="36">
        <v>21.69</v>
      </c>
      <c r="C6" s="35">
        <v>21.36</v>
      </c>
      <c r="D6" s="35">
        <v>22.01</v>
      </c>
      <c r="E6" s="35">
        <v>0.65</v>
      </c>
      <c r="F6" s="35">
        <f t="shared" si="0"/>
        <v>0.65</v>
      </c>
      <c r="G6" s="35">
        <f t="shared" si="1"/>
        <v>1.3</v>
      </c>
      <c r="H6" s="42" t="s">
        <v>32</v>
      </c>
    </row>
    <row r="7" spans="1:8" s="1" customFormat="1" ht="21.75" customHeight="1" x14ac:dyDescent="0.25">
      <c r="A7" s="41">
        <f t="shared" si="2"/>
        <v>4</v>
      </c>
      <c r="B7" s="36">
        <v>24.425000000000001</v>
      </c>
      <c r="C7" s="35">
        <v>24.11</v>
      </c>
      <c r="D7" s="35">
        <v>24.72</v>
      </c>
      <c r="E7" s="35">
        <v>0.61</v>
      </c>
      <c r="F7" s="35">
        <f t="shared" si="0"/>
        <v>0.61</v>
      </c>
      <c r="G7" s="35">
        <f t="shared" si="1"/>
        <v>1.22</v>
      </c>
      <c r="H7" s="42" t="s">
        <v>32</v>
      </c>
    </row>
    <row r="8" spans="1:8" s="1" customFormat="1" ht="21.75" customHeight="1" x14ac:dyDescent="0.25">
      <c r="A8" s="41">
        <f t="shared" si="2"/>
        <v>5</v>
      </c>
      <c r="B8" s="36">
        <v>27.85</v>
      </c>
      <c r="C8" s="35">
        <v>27.6</v>
      </c>
      <c r="D8" s="35">
        <v>28.12</v>
      </c>
      <c r="E8" s="35">
        <v>0.52</v>
      </c>
      <c r="F8" s="35">
        <f t="shared" si="0"/>
        <v>0.52</v>
      </c>
      <c r="G8" s="35">
        <f t="shared" si="1"/>
        <v>1.04</v>
      </c>
      <c r="H8" s="42" t="s">
        <v>32</v>
      </c>
    </row>
    <row r="9" spans="1:8" s="1" customFormat="1" ht="21.75" customHeight="1" x14ac:dyDescent="0.25">
      <c r="A9" s="41">
        <f t="shared" si="2"/>
        <v>6</v>
      </c>
      <c r="B9" s="36">
        <v>29.78</v>
      </c>
      <c r="C9" s="35">
        <v>29.49</v>
      </c>
      <c r="D9" s="35">
        <v>30.06</v>
      </c>
      <c r="E9" s="35">
        <v>0.56999999999999995</v>
      </c>
      <c r="F9" s="35">
        <f t="shared" si="0"/>
        <v>0.56999999999999995</v>
      </c>
      <c r="G9" s="35">
        <f t="shared" si="1"/>
        <v>1.1399999999999999</v>
      </c>
      <c r="H9" s="42" t="s">
        <v>32</v>
      </c>
    </row>
    <row r="10" spans="1:8" s="1" customFormat="1" ht="21.75" customHeight="1" x14ac:dyDescent="0.25">
      <c r="A10" s="41">
        <f t="shared" si="2"/>
        <v>7</v>
      </c>
      <c r="B10" s="36">
        <v>32.56</v>
      </c>
      <c r="C10" s="35">
        <v>32.22</v>
      </c>
      <c r="D10" s="35">
        <v>32.869999999999997</v>
      </c>
      <c r="E10" s="35">
        <v>0.65</v>
      </c>
      <c r="F10" s="35">
        <f t="shared" si="0"/>
        <v>0.65</v>
      </c>
      <c r="G10" s="35">
        <f t="shared" si="1"/>
        <v>1.3</v>
      </c>
      <c r="H10" s="42" t="s">
        <v>32</v>
      </c>
    </row>
    <row r="11" spans="1:8" s="1" customFormat="1" ht="21.75" customHeight="1" thickBot="1" x14ac:dyDescent="0.3">
      <c r="A11" s="43">
        <f t="shared" si="2"/>
        <v>8</v>
      </c>
      <c r="B11" s="44">
        <v>34.22</v>
      </c>
      <c r="C11" s="33">
        <v>34.01</v>
      </c>
      <c r="D11" s="33">
        <v>34.531999999999996</v>
      </c>
      <c r="E11" s="33">
        <v>0.52200000000000002</v>
      </c>
      <c r="F11" s="33">
        <f t="shared" si="0"/>
        <v>0.52200000000000002</v>
      </c>
      <c r="G11" s="33">
        <f t="shared" si="1"/>
        <v>1.044</v>
      </c>
      <c r="H11" s="47" t="s">
        <v>32</v>
      </c>
    </row>
    <row r="12" spans="1:8" ht="15.75" thickBot="1" x14ac:dyDescent="0.3">
      <c r="A12" s="7"/>
    </row>
    <row r="13" spans="1:8" ht="25.5" customHeight="1" thickBot="1" x14ac:dyDescent="0.3">
      <c r="A13" s="178" t="s">
        <v>217</v>
      </c>
      <c r="B13" s="179"/>
      <c r="C13" s="179"/>
      <c r="D13" s="179"/>
      <c r="E13" s="179"/>
      <c r="F13" s="179"/>
      <c r="G13" s="179"/>
      <c r="H13" s="180"/>
    </row>
    <row r="14" spans="1:8" ht="30.75" customHeight="1" x14ac:dyDescent="0.25">
      <c r="A14" s="165" t="s">
        <v>1</v>
      </c>
      <c r="B14" s="166" t="s">
        <v>214</v>
      </c>
      <c r="C14" s="166" t="s">
        <v>215</v>
      </c>
      <c r="D14" s="166"/>
      <c r="E14" s="181" t="s">
        <v>216</v>
      </c>
      <c r="F14" s="181"/>
      <c r="G14" s="166" t="s">
        <v>203</v>
      </c>
      <c r="H14" s="167" t="s">
        <v>24</v>
      </c>
    </row>
    <row r="15" spans="1:8" ht="30.75" customHeight="1" thickBot="1" x14ac:dyDescent="0.3">
      <c r="A15" s="160"/>
      <c r="B15" s="162"/>
      <c r="C15" s="19" t="s">
        <v>3</v>
      </c>
      <c r="D15" s="19" t="s">
        <v>4</v>
      </c>
      <c r="E15" s="19" t="s">
        <v>45</v>
      </c>
      <c r="F15" s="19" t="s">
        <v>46</v>
      </c>
      <c r="G15" s="162"/>
      <c r="H15" s="164"/>
    </row>
    <row r="16" spans="1:8" ht="34.5" customHeight="1" x14ac:dyDescent="0.25">
      <c r="A16" s="38">
        <v>1</v>
      </c>
      <c r="B16" s="79">
        <v>0</v>
      </c>
      <c r="C16" s="79">
        <v>0</v>
      </c>
      <c r="D16" s="79">
        <v>0.3</v>
      </c>
      <c r="E16" s="79">
        <v>0.3</v>
      </c>
      <c r="F16" s="79">
        <v>0.3</v>
      </c>
      <c r="G16" s="79">
        <f>+F16+E16</f>
        <v>0.6</v>
      </c>
      <c r="H16" s="100" t="s">
        <v>102</v>
      </c>
    </row>
    <row r="17" spans="1:14" ht="24" customHeight="1" x14ac:dyDescent="0.25">
      <c r="A17" s="41">
        <f>+A16+1</f>
        <v>2</v>
      </c>
      <c r="B17" s="36">
        <v>34.531999999999996</v>
      </c>
      <c r="C17" s="36">
        <v>34.531999999999996</v>
      </c>
      <c r="D17" s="36">
        <v>35</v>
      </c>
      <c r="E17" s="36">
        <v>0.46800000000000003</v>
      </c>
      <c r="F17" s="36">
        <v>0.46800000000000003</v>
      </c>
      <c r="G17" s="36">
        <f>+F17+E17</f>
        <v>0.93600000000000005</v>
      </c>
      <c r="H17" s="101" t="s">
        <v>218</v>
      </c>
    </row>
    <row r="18" spans="1:14" ht="24" customHeight="1" x14ac:dyDescent="0.25">
      <c r="A18" s="41">
        <f t="shared" ref="A18:A19" si="3">+A17+1</f>
        <v>3</v>
      </c>
      <c r="B18" s="72"/>
      <c r="C18" s="36">
        <v>34.950000000000003</v>
      </c>
      <c r="D18" s="36">
        <v>35.161999999999999</v>
      </c>
      <c r="E18" s="36">
        <v>0.21199999999999999</v>
      </c>
      <c r="F18" s="36">
        <f>+E18</f>
        <v>0.21199999999999999</v>
      </c>
      <c r="G18" s="36">
        <f>+F18+E18</f>
        <v>0.42399999999999999</v>
      </c>
      <c r="H18" s="42" t="s">
        <v>172</v>
      </c>
      <c r="N18" s="102"/>
    </row>
    <row r="19" spans="1:14" ht="24" customHeight="1" thickBot="1" x14ac:dyDescent="0.3">
      <c r="A19" s="43">
        <f t="shared" si="3"/>
        <v>4</v>
      </c>
      <c r="B19" s="83"/>
      <c r="C19" s="44">
        <v>35</v>
      </c>
      <c r="D19" s="44">
        <v>35.215000000000003</v>
      </c>
      <c r="E19" s="44">
        <v>0.215</v>
      </c>
      <c r="F19" s="44">
        <f>+E19</f>
        <v>0.215</v>
      </c>
      <c r="G19" s="44">
        <f>+F19+E19</f>
        <v>0.43</v>
      </c>
      <c r="H19" s="47" t="s">
        <v>219</v>
      </c>
    </row>
  </sheetData>
  <mergeCells count="14">
    <mergeCell ref="A2:A3"/>
    <mergeCell ref="B2:B3"/>
    <mergeCell ref="G2:G3"/>
    <mergeCell ref="H2:H3"/>
    <mergeCell ref="A1:H1"/>
    <mergeCell ref="C2:D2"/>
    <mergeCell ref="E2:F2"/>
    <mergeCell ref="A13:H13"/>
    <mergeCell ref="A14:A15"/>
    <mergeCell ref="B14:B15"/>
    <mergeCell ref="C14:D14"/>
    <mergeCell ref="E14:F14"/>
    <mergeCell ref="G14:G15"/>
    <mergeCell ref="H14:H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Crust Layer</vt:lpstr>
      <vt:lpstr>TCS</vt:lpstr>
      <vt:lpstr>Paved Shoulder</vt:lpstr>
      <vt:lpstr>Underpasses</vt:lpstr>
      <vt:lpstr>Overpasses,Cloverleaf</vt:lpstr>
      <vt:lpstr>SR,Slip Road.Connecting Road</vt:lpstr>
      <vt:lpstr>Elevated</vt:lpstr>
      <vt:lpstr>Interchange (IC)</vt:lpstr>
      <vt:lpstr>Drain</vt:lpstr>
      <vt:lpstr>New Culvert</vt:lpstr>
      <vt:lpstr>RE Wall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ROHIT KUMAR</dc:creator>
  <cp:lastModifiedBy>ROHIT KUMAR</cp:lastModifiedBy>
  <cp:lastPrinted>2026-03-05T06:09:03Z</cp:lastPrinted>
  <dcterms:created xsi:type="dcterms:W3CDTF">2015-06-05T18:17:20Z</dcterms:created>
  <dcterms:modified xsi:type="dcterms:W3CDTF">2026-07-04T10:46:01Z</dcterms:modified>
</cp:coreProperties>
</file>